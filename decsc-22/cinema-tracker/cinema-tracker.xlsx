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howtime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Cine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₱&quot;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  <font>
      <b val="1"/>
    </font>
    <font>
      <b val="1"/>
      <color rgb="001F4E79"/>
    </font>
    <font>
      <i val="1"/>
      <color rgb="00808080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cinema</a:t>
            </a:r>
          </a:p>
        </rich>
      </tx>
    </title>
    <plotArea>
      <pieChart>
        <varyColors val="1"/>
        <ser>
          <idx val="0"/>
          <order val="0"/>
          <tx>
            <strRef>
              <f>'Budget'!F3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'Budget'!$C$4:$C$20</f>
            </numRef>
          </cat>
          <val>
            <numRef>
              <f>'Budget'!$F$4:$F$20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 ht="30" customHeight="1">
      <c r="A1" s="1" t="inlineStr">
        <is>
          <t>🎬 PH Cinema Price Tracker — Settings</t>
        </is>
      </c>
    </row>
    <row r="3" ht="22" customHeight="1">
      <c r="A3" s="2" t="inlineStr">
        <is>
          <t>Setting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Your Location (preset)</t>
        </is>
      </c>
      <c r="B4" s="4" t="inlineStr">
        <is>
          <t>Glorietta</t>
        </is>
      </c>
      <c r="C4" s="5" t="inlineStr">
        <is>
          <t>Pick from dropdown — drives distance calc</t>
        </is>
      </c>
    </row>
    <row r="5">
      <c r="A5" s="3" t="inlineStr">
        <is>
          <t>Your Latitude</t>
        </is>
      </c>
      <c r="B5">
        <f>IFERROR(VLOOKUP($B$4, Cinemas!C:G, 4, FALSE), 14.5547)</f>
        <v/>
      </c>
      <c r="C5" s="5" t="inlineStr">
        <is>
          <t>Auto-fills from preset, OR overwrite manually</t>
        </is>
      </c>
    </row>
    <row r="6">
      <c r="A6" s="3" t="inlineStr">
        <is>
          <t>Your Longitude</t>
        </is>
      </c>
      <c r="B6">
        <f>IFERROR(VLOOKUP($B$4, Cinemas!C:G, 5, FALSE), 121.0244)</f>
        <v/>
      </c>
      <c r="C6" s="5" t="inlineStr">
        <is>
          <t>Auto-fills from preset, OR overwrite manually</t>
        </is>
      </c>
    </row>
    <row r="7">
      <c r="A7" s="3" t="inlineStr">
        <is>
          <t>Max Distance (km)</t>
        </is>
      </c>
      <c r="B7" s="4" t="n">
        <v>20</v>
      </c>
      <c r="C7" s="5" t="inlineStr">
        <is>
          <t>Only show cinemas within this radius</t>
        </is>
      </c>
    </row>
    <row r="8">
      <c r="A8" s="3" t="inlineStr">
        <is>
          <t>Max Budget (PHP)</t>
        </is>
      </c>
      <c r="B8" s="4" t="n">
        <v>450</v>
      </c>
      <c r="C8" s="5" t="inlineStr">
        <is>
          <t>Hide showtimes above this price</t>
        </is>
      </c>
    </row>
    <row r="9">
      <c r="A9" s="3" t="inlineStr">
        <is>
          <t>Movie Filter (optional)</t>
        </is>
      </c>
      <c r="B9" s="4" t="inlineStr"/>
      <c r="C9" s="5" t="inlineStr">
        <is>
          <t>Type a movie name to filter (case-insensitive partial match) — leave blank for all</t>
        </is>
      </c>
    </row>
    <row r="12">
      <c r="A12" s="6" t="inlineStr">
        <is>
          <t>How to use:</t>
        </is>
      </c>
    </row>
    <row r="13">
      <c r="A13" t="inlineStr">
        <is>
          <t>1. Pick your nearest cinema as 'Your Location' (B4 dropdown)</t>
        </is>
      </c>
    </row>
    <row r="14">
      <c r="A14" t="inlineStr">
        <is>
          <t>2. Set Max Distance + Max Budget below</t>
        </is>
      </c>
    </row>
    <row r="15">
      <c r="A15" t="inlineStr">
        <is>
          <t>3. Click 🎬 Cinema Tracker → Refresh Showtimes (in the menu bar)</t>
        </is>
      </c>
    </row>
    <row r="16">
      <c r="A16" t="inlineStr">
        <is>
          <t>4. Open the Dashboard tab to see ranked results</t>
        </is>
      </c>
    </row>
    <row r="17">
      <c r="A17" t="inlineStr">
        <is>
          <t>5. Track your movie spending in the Budget tab</t>
        </is>
      </c>
    </row>
  </sheetData>
  <mergeCells count="6">
    <mergeCell ref="A13:C13"/>
    <mergeCell ref="A1:C1"/>
    <mergeCell ref="A14:C14"/>
    <mergeCell ref="A17:C17"/>
    <mergeCell ref="A15:C15"/>
    <mergeCell ref="A16:C16"/>
  </mergeCells>
  <dataValidations count="1">
    <dataValidation sqref="B4" showDropDown="0" showInputMessage="0" showErrorMessage="0" allowBlank="0" errorTitle="Invalid location" error="Pick a cinema name from the list" type="list">
      <formula1>=Cinemas!$C$2:$C$118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12" customWidth="1" min="4" max="4"/>
    <col width="8" customWidth="1" min="5" max="5"/>
    <col width="12" customWidth="1" min="6" max="6"/>
    <col width="14" customWidth="1" min="7" max="7"/>
    <col width="50" customWidth="1" min="8" max="8"/>
  </cols>
  <sheetData>
    <row r="1" ht="30" customHeight="1">
      <c r="A1" s="1" t="inlineStr">
        <is>
          <t>🎬 Dashboard — Cheapest movies near you</t>
        </is>
      </c>
    </row>
    <row r="3">
      <c r="A3" s="7" t="inlineStr">
        <is>
          <t>This list updates live from your Settings tab. Refresh data via 🎬 Cinema Tracker → Refresh Showtimes.</t>
        </is>
      </c>
    </row>
    <row r="5" ht="22" customHeight="1">
      <c r="A5" s="2" t="inlineStr">
        <is>
          <t>Platform</t>
        </is>
      </c>
      <c r="B5" s="2" t="inlineStr">
        <is>
          <t>Cinema</t>
        </is>
      </c>
      <c r="C5" s="2" t="inlineStr">
        <is>
          <t>Movie</t>
        </is>
      </c>
      <c r="D5" s="2" t="inlineStr">
        <is>
          <t>Date</t>
        </is>
      </c>
      <c r="E5" s="2" t="inlineStr">
        <is>
          <t>Time</t>
        </is>
      </c>
      <c r="F5" s="2" t="inlineStr">
        <is>
          <t>Price (PHP)</t>
        </is>
      </c>
      <c r="G5" s="2" t="inlineStr">
        <is>
          <t>Distance (km)</t>
        </is>
      </c>
      <c r="H5" s="2" t="inlineStr">
        <is>
          <t>Link</t>
        </is>
      </c>
    </row>
    <row r="6">
      <c r="A6">
        <f>IFERROR(SORT(FILTER({Showtimes!A2:A1000, Showtimes!C2:C1000, Showtimes!D2:D1000, Showtimes!E2:E1000, Showtimes!F2:F1000, Showtimes!G2:G1000, ARRAYFORMULA(IF(Showtimes!A2:A1000="", "", 6371*2*ASIN(SQRT(SIN((RADIANS(IFERROR(VLOOKUP(Showtimes!B2:B1000, Cinemas!B:G, 5, FALSE), Settings!$B$5))-RADIANS(Settings!$B$5))/2)^2+COS(RADIANS(Settings!$B$5))*COS(RADIANS(IFERROR(VLOOKUP(Showtimes!B2:B1000, Cinemas!B:G, 5, FALSE), Settings!$B$5)))*SIN((RADIANS(IFERROR(VLOOKUP(Showtimes!B2:B1000, Cinemas!B:G, 6, FALSE), Settings!$B$6))-RADIANS(Settings!$B$6))/2)^2)))), Showtimes!J2:J1000}, Showtimes!A2:A1000&lt;&gt;"", Showtimes!G2:G1000&gt;0, Showtimes!G2:G1000&lt;=Settings!$B$8, IF(Settings!$B$9="", TRUE, IFERROR(SEARCH(LOWER(Settings!$B$9), LOWER(Showtimes!D2:D1000))&gt;0, FALSE))), 6, TRUE, 7, TRUE), "No showings match your filters yet — refresh data and check your Settings.")</f>
        <v/>
      </c>
    </row>
  </sheetData>
  <mergeCells count="2">
    <mergeCell ref="A1:I1"/>
    <mergeCell ref="A3:I3"/>
  </mergeCells>
  <conditionalFormatting sqref="F6:F1000">
    <cfRule type="cellIs" priority="1" operator="lessThan" dxfId="0">
      <formula>350</formula>
    </cfRule>
  </conditionalFormatting>
  <conditionalFormatting sqref="G6:G1000">
    <cfRule type="cellIs" priority="2" operator="between" dxfId="1">
      <formula>10</formula>
      <formula>20</formula>
    </cfRule>
    <cfRule type="cellIs" priority="3" operator="greaterThan" dxfId="2">
      <formula>20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36" customWidth="1" min="4" max="4"/>
    <col width="12" customWidth="1" min="5" max="5"/>
    <col width="8" customWidth="1" min="6" max="6"/>
    <col width="12" customWidth="1" min="7" max="7"/>
    <col width="14" customWidth="1" min="8" max="8"/>
    <col width="25" customWidth="1" min="9" max="9"/>
    <col width="50" customWidth="1" min="10" max="10"/>
  </cols>
  <sheetData>
    <row r="1" ht="22" customHeight="1">
      <c r="A1" s="2" t="inlineStr">
        <is>
          <t>Platform</t>
        </is>
      </c>
      <c r="B1" s="2" t="inlineStr">
        <is>
          <t>CinemaId</t>
        </is>
      </c>
      <c r="C1" s="2" t="inlineStr">
        <is>
          <t>Cinema</t>
        </is>
      </c>
      <c r="D1" s="2" t="inlineStr">
        <is>
          <t>Movie</t>
        </is>
      </c>
      <c r="E1" s="2" t="inlineStr">
        <is>
          <t>Date</t>
        </is>
      </c>
      <c r="F1" s="2" t="inlineStr">
        <is>
          <t>Time</t>
        </is>
      </c>
      <c r="G1" s="2" t="inlineStr">
        <is>
          <t>Price (PHP)</t>
        </is>
      </c>
      <c r="H1" s="2" t="inlineStr">
        <is>
          <t>Genre</t>
        </is>
      </c>
      <c r="I1" s="2" t="inlineStr">
        <is>
          <t>Venue</t>
        </is>
      </c>
      <c r="J1" s="2" t="inlineStr">
        <is>
          <t>Link</t>
        </is>
      </c>
      <c r="L1" s="7" t="inlineStr">
        <is>
          <t>Last refreshed:</t>
        </is>
      </c>
      <c r="M1" s="7" t="inlineStr">
        <is>
          <t>(click Refresh in 🎬 menu)</t>
        </is>
      </c>
    </row>
    <row r="2">
      <c r="A2" s="7" t="inlineStr">
        <is>
          <t>(Click 🎬 Cinema Tracker → Refresh Showtimes to load live data)</t>
        </is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9" customWidth="1" min="4" max="4"/>
    <col width="18" customWidth="1" min="5" max="5"/>
    <col width="13" customWidth="1" min="6" max="6"/>
    <col width="25" customWidth="1" min="7" max="7"/>
    <col width="4" customWidth="1" min="8" max="8"/>
    <col width="22" customWidth="1" min="9" max="9"/>
    <col width="14" customWidth="1" min="10" max="10"/>
  </cols>
  <sheetData>
    <row r="1" ht="30" customHeight="1">
      <c r="A1" s="1" t="inlineStr">
        <is>
          <t>💸 My Movie Budget Tracker</t>
        </is>
      </c>
    </row>
    <row r="3" ht="22" customHeight="1">
      <c r="A3" s="2" t="inlineStr">
        <is>
          <t>Date</t>
        </is>
      </c>
      <c r="B3" s="2" t="inlineStr">
        <is>
          <t>Movie</t>
        </is>
      </c>
      <c r="C3" s="2" t="inlineStr">
        <is>
          <t>Cinema</t>
        </is>
      </c>
      <c r="D3" s="2" t="inlineStr">
        <is>
          <t>Tickets</t>
        </is>
      </c>
      <c r="E3" s="2" t="inlineStr">
        <is>
          <t>Price per Ticket (PHP)</t>
        </is>
      </c>
      <c r="F3" s="2" t="inlineStr">
        <is>
          <t>Total (PHP)</t>
        </is>
      </c>
      <c r="G3" s="2" t="inlineStr">
        <is>
          <t>Notes</t>
        </is>
      </c>
      <c r="I3" s="8" t="inlineStr">
        <is>
          <t>Summary</t>
        </is>
      </c>
    </row>
    <row r="4">
      <c r="A4" t="inlineStr">
        <is>
          <t>2026-04-15</t>
        </is>
      </c>
      <c r="B4" t="inlineStr">
        <is>
          <t>Lee Cronin's The Mummy</t>
        </is>
      </c>
      <c r="C4" t="inlineStr">
        <is>
          <t>Robinsons Manila</t>
        </is>
      </c>
      <c r="D4" t="n">
        <v>2</v>
      </c>
      <c r="E4" s="9" t="n">
        <v>330</v>
      </c>
      <c r="F4" s="9">
        <f>IF(A4="","",D4*E4)</f>
        <v/>
      </c>
      <c r="G4" t="inlineStr">
        <is>
          <t>Friday date night</t>
        </is>
      </c>
    </row>
    <row r="5">
      <c r="A5" t="inlineStr">
        <is>
          <t>2026-04-22</t>
        </is>
      </c>
      <c r="B5" t="inlineStr">
        <is>
          <t>Almost Us</t>
        </is>
      </c>
      <c r="C5" t="inlineStr">
        <is>
          <t>SM City North Edsa</t>
        </is>
      </c>
      <c r="D5" t="n">
        <v>1</v>
      </c>
      <c r="E5" s="9" t="n">
        <v>420</v>
      </c>
      <c r="F5" s="9">
        <f>IF(A5="","",D5*E5)</f>
        <v/>
      </c>
      <c r="G5" t="inlineStr">
        <is>
          <t>Solo</t>
        </is>
      </c>
      <c r="H5" s="3" t="inlineStr">
        <is>
          <t>Total spent YTD</t>
        </is>
      </c>
      <c r="I5" s="9">
        <f>SUM(F4:F1000)</f>
        <v/>
      </c>
    </row>
    <row r="6">
      <c r="A6" t="inlineStr">
        <is>
          <t>2026-05-02</t>
        </is>
      </c>
      <c r="B6" t="inlineStr">
        <is>
          <t>The Devil Wears Prada 2</t>
        </is>
      </c>
      <c r="C6" t="inlineStr">
        <is>
          <t>Greenbelt 5</t>
        </is>
      </c>
      <c r="D6" t="n">
        <v>3</v>
      </c>
      <c r="E6" s="9" t="n">
        <v>500</v>
      </c>
      <c r="F6" s="9">
        <f>IF(A6="","",D6*E6)</f>
        <v/>
      </c>
      <c r="G6" t="inlineStr">
        <is>
          <t>With group</t>
        </is>
      </c>
      <c r="H6" s="3" t="inlineStr">
        <is>
          <t>Tickets bought</t>
        </is>
      </c>
      <c r="I6" s="10">
        <f>SUM(D4:D1000)</f>
        <v/>
      </c>
    </row>
    <row r="7">
      <c r="E7" s="9" t="n"/>
      <c r="F7" s="9">
        <f>IF(A7="","",D7*E7)</f>
        <v/>
      </c>
      <c r="H7" s="3" t="inlineStr">
        <is>
          <t>Avg price / ticket</t>
        </is>
      </c>
      <c r="I7" s="9">
        <f>IFERROR(I5/I6,0)</f>
        <v/>
      </c>
    </row>
    <row r="8">
      <c r="E8" s="9" t="n"/>
      <c r="F8" s="9">
        <f>IF(A8="","",D8*E8)</f>
        <v/>
      </c>
      <c r="H8" s="3" t="inlineStr">
        <is>
          <t>Most-visited cinema</t>
        </is>
      </c>
      <c r="I8">
        <f>IFERROR(INDEX(C4:C1000,MATCH(MAX(COUNTIF(C4:C1000,C4:C1000)),COUNTIF(C4:C1000,C4:C1000),0)),"-")</f>
        <v/>
      </c>
    </row>
    <row r="9">
      <c r="E9" s="9" t="n"/>
      <c r="F9" s="9">
        <f>IF(A9="","",D9*E9)</f>
        <v/>
      </c>
      <c r="H9" s="3" t="inlineStr">
        <is>
          <t>This month spent</t>
        </is>
      </c>
      <c r="I9" s="9">
        <f>SUMIFS(F:F,A:A,"&gt;="&amp;EOMONTH(TODAY(),-1)+1,A:A,"&lt;="&amp;EOMONTH(TODAY(),0))</f>
        <v/>
      </c>
    </row>
    <row r="10">
      <c r="E10" s="9" t="n"/>
      <c r="F10" s="9">
        <f>IF(A10="","",D10*E10)</f>
        <v/>
      </c>
      <c r="H10" s="3" t="inlineStr">
        <is>
          <t>Movies this year</t>
        </is>
      </c>
      <c r="I10" s="10">
        <f>COUNTIFS(A4:A1000,"&gt;="&amp;DATE(YEAR(TODAY()),1,1),A4:A1000,"&lt;="&amp;DATE(YEAR(TODAY()),12,31))</f>
        <v/>
      </c>
    </row>
    <row r="11">
      <c r="E11" s="9" t="n"/>
      <c r="F11" s="9">
        <f>IF(A11="","",D11*E11)</f>
        <v/>
      </c>
    </row>
    <row r="12">
      <c r="E12" s="9" t="n"/>
      <c r="F12" s="9">
        <f>IF(A12="","",D12*E12)</f>
        <v/>
      </c>
    </row>
    <row r="13">
      <c r="E13" s="9" t="n"/>
      <c r="F13" s="9">
        <f>IF(A13="","",D13*E13)</f>
        <v/>
      </c>
    </row>
    <row r="14">
      <c r="E14" s="9" t="n"/>
      <c r="F14" s="9">
        <f>IF(A14="","",D14*E14)</f>
        <v/>
      </c>
    </row>
    <row r="15">
      <c r="E15" s="9" t="n"/>
      <c r="F15" s="9">
        <f>IF(A15="","",D15*E15)</f>
        <v/>
      </c>
    </row>
    <row r="16">
      <c r="E16" s="9" t="n"/>
      <c r="F16" s="9">
        <f>IF(A16="","",D16*E16)</f>
        <v/>
      </c>
    </row>
    <row r="17">
      <c r="E17" s="9" t="n"/>
      <c r="F17" s="9">
        <f>IF(A17="","",D17*E17)</f>
        <v/>
      </c>
    </row>
    <row r="18">
      <c r="E18" s="9" t="n"/>
      <c r="F18" s="9">
        <f>IF(A18="","",D18*E18)</f>
        <v/>
      </c>
    </row>
    <row r="19">
      <c r="E19" s="9" t="n"/>
      <c r="F19" s="9">
        <f>IF(A19="","",D19*E19)</f>
        <v/>
      </c>
    </row>
    <row r="20">
      <c r="E20" s="9" t="n"/>
      <c r="F20" s="9">
        <f>IF(A20="","",D20*E20)</f>
        <v/>
      </c>
    </row>
    <row r="21">
      <c r="E21" s="9" t="n"/>
      <c r="F21" s="9">
        <f>IF(A21="","",D21*E21)</f>
        <v/>
      </c>
    </row>
    <row r="22">
      <c r="E22" s="9" t="n"/>
      <c r="F22" s="9">
        <f>IF(A22="","",D22*E22)</f>
        <v/>
      </c>
    </row>
    <row r="23">
      <c r="E23" s="9" t="n"/>
      <c r="F23" s="9">
        <f>IF(A23="","",D23*E23)</f>
        <v/>
      </c>
    </row>
    <row r="24">
      <c r="E24" s="9" t="n"/>
      <c r="F24" s="9">
        <f>IF(A24="","",D24*E24)</f>
        <v/>
      </c>
    </row>
    <row r="25">
      <c r="E25" s="9" t="n"/>
      <c r="F25" s="9">
        <f>IF(A25="","",D25*E25)</f>
        <v/>
      </c>
    </row>
    <row r="26">
      <c r="E26" s="9" t="n"/>
      <c r="F26" s="9">
        <f>IF(A26="","",D26*E26)</f>
        <v/>
      </c>
    </row>
    <row r="27">
      <c r="E27" s="9" t="n"/>
      <c r="F27" s="9">
        <f>IF(A27="","",D27*E27)</f>
        <v/>
      </c>
    </row>
    <row r="28">
      <c r="E28" s="9" t="n"/>
      <c r="F28" s="9">
        <f>IF(A28="","",D28*E28)</f>
        <v/>
      </c>
    </row>
    <row r="29">
      <c r="E29" s="9" t="n"/>
      <c r="F29" s="9">
        <f>IF(A29="","",D29*E29)</f>
        <v/>
      </c>
    </row>
    <row r="30">
      <c r="E30" s="9" t="n"/>
      <c r="F30" s="9">
        <f>IF(A30="","",D30*E30)</f>
        <v/>
      </c>
    </row>
    <row r="31">
      <c r="E31" s="9" t="n"/>
      <c r="F31" s="9">
        <f>IF(A31="","",D31*E31)</f>
        <v/>
      </c>
    </row>
    <row r="32">
      <c r="E32" s="9" t="n"/>
      <c r="F32" s="9">
        <f>IF(A32="","",D32*E32)</f>
        <v/>
      </c>
    </row>
    <row r="33">
      <c r="E33" s="9" t="n"/>
      <c r="F33" s="9">
        <f>IF(A33="","",D33*E33)</f>
        <v/>
      </c>
    </row>
    <row r="34">
      <c r="E34" s="9" t="n"/>
      <c r="F34" s="9">
        <f>IF(A34="","",D34*E34)</f>
        <v/>
      </c>
    </row>
    <row r="35">
      <c r="E35" s="9" t="n"/>
      <c r="F35" s="9">
        <f>IF(A35="","",D35*E35)</f>
        <v/>
      </c>
    </row>
    <row r="36">
      <c r="E36" s="9" t="n"/>
      <c r="F36" s="9">
        <f>IF(A36="","",D36*E36)</f>
        <v/>
      </c>
    </row>
    <row r="37">
      <c r="E37" s="9" t="n"/>
      <c r="F37" s="9">
        <f>IF(A37="","",D37*E37)</f>
        <v/>
      </c>
    </row>
    <row r="38">
      <c r="E38" s="9" t="n"/>
      <c r="F38" s="9">
        <f>IF(A38="","",D38*E38)</f>
        <v/>
      </c>
    </row>
    <row r="39">
      <c r="E39" s="9" t="n"/>
      <c r="F39" s="9">
        <f>IF(A39="","",D39*E39)</f>
        <v/>
      </c>
    </row>
    <row r="40">
      <c r="E40" s="9" t="n"/>
      <c r="F40" s="9">
        <f>IF(A40="","",D40*E40)</f>
        <v/>
      </c>
    </row>
    <row r="41">
      <c r="E41" s="9" t="n"/>
      <c r="F41" s="9">
        <f>IF(A41="","",D41*E41)</f>
        <v/>
      </c>
    </row>
    <row r="42">
      <c r="E42" s="9" t="n"/>
      <c r="F42" s="9">
        <f>IF(A42="","",D42*E42)</f>
        <v/>
      </c>
    </row>
    <row r="43">
      <c r="E43" s="9" t="n"/>
      <c r="F43" s="9">
        <f>IF(A43="","",D43*E43)</f>
        <v/>
      </c>
    </row>
    <row r="44">
      <c r="E44" s="9" t="n"/>
      <c r="F44" s="9">
        <f>IF(A44="","",D44*E44)</f>
        <v/>
      </c>
    </row>
    <row r="45">
      <c r="E45" s="9" t="n"/>
      <c r="F45" s="9">
        <f>IF(A45="","",D45*E45)</f>
        <v/>
      </c>
    </row>
    <row r="46">
      <c r="E46" s="9" t="n"/>
      <c r="F46" s="9">
        <f>IF(A46="","",D46*E46)</f>
        <v/>
      </c>
    </row>
    <row r="47">
      <c r="E47" s="9" t="n"/>
      <c r="F47" s="9">
        <f>IF(A47="","",D47*E47)</f>
        <v/>
      </c>
    </row>
    <row r="48">
      <c r="E48" s="9" t="n"/>
      <c r="F48" s="9">
        <f>IF(A48="","",D48*E48)</f>
        <v/>
      </c>
    </row>
    <row r="49">
      <c r="E49" s="9" t="n"/>
      <c r="F49" s="9">
        <f>IF(A49="","",D49*E49)</f>
        <v/>
      </c>
    </row>
    <row r="50">
      <c r="E50" s="9" t="n"/>
      <c r="F50" s="9">
        <f>IF(A50="","",D50*E50)</f>
        <v/>
      </c>
    </row>
    <row r="51">
      <c r="E51" s="9" t="n"/>
      <c r="F51" s="9">
        <f>IF(A51="","",D51*E51)</f>
        <v/>
      </c>
    </row>
    <row r="52">
      <c r="E52" s="9" t="n"/>
      <c r="F52" s="9">
        <f>IF(A52="","",D52*E52)</f>
        <v/>
      </c>
    </row>
    <row r="53">
      <c r="E53" s="9" t="n"/>
      <c r="F53" s="9">
        <f>IF(A53="","",D53*E53)</f>
        <v/>
      </c>
    </row>
    <row r="54">
      <c r="E54" s="9" t="n"/>
      <c r="F54" s="9">
        <f>IF(A54="","",D54*E54)</f>
        <v/>
      </c>
    </row>
    <row r="55">
      <c r="E55" s="9" t="n"/>
      <c r="F55" s="9">
        <f>IF(A55="","",D55*E55)</f>
        <v/>
      </c>
    </row>
    <row r="56">
      <c r="E56" s="9" t="n"/>
      <c r="F56" s="9">
        <f>IF(A56="","",D56*E56)</f>
        <v/>
      </c>
    </row>
    <row r="57">
      <c r="E57" s="9" t="n"/>
      <c r="F57" s="9">
        <f>IF(A57="","",D57*E57)</f>
        <v/>
      </c>
    </row>
    <row r="58">
      <c r="E58" s="9" t="n"/>
      <c r="F58" s="9">
        <f>IF(A58="","",D58*E58)</f>
        <v/>
      </c>
    </row>
    <row r="59">
      <c r="E59" s="9" t="n"/>
      <c r="F59" s="9">
        <f>IF(A59="","",D59*E59)</f>
        <v/>
      </c>
    </row>
    <row r="60">
      <c r="E60" s="9" t="n"/>
      <c r="F60" s="9">
        <f>IF(A60="","",D60*E60)</f>
        <v/>
      </c>
    </row>
    <row r="61">
      <c r="E61" s="9" t="n"/>
      <c r="F61" s="9">
        <f>IF(A61="","",D61*E61)</f>
        <v/>
      </c>
    </row>
    <row r="62">
      <c r="E62" s="9" t="n"/>
      <c r="F62" s="9">
        <f>IF(A62="","",D62*E62)</f>
        <v/>
      </c>
    </row>
    <row r="63">
      <c r="E63" s="9" t="n"/>
      <c r="F63" s="9">
        <f>IF(A63="","",D63*E63)</f>
        <v/>
      </c>
    </row>
    <row r="64">
      <c r="E64" s="9" t="n"/>
      <c r="F64" s="9">
        <f>IF(A64="","",D64*E64)</f>
        <v/>
      </c>
    </row>
    <row r="65">
      <c r="E65" s="9" t="n"/>
      <c r="F65" s="9">
        <f>IF(A65="","",D65*E65)</f>
        <v/>
      </c>
    </row>
    <row r="66">
      <c r="E66" s="9" t="n"/>
      <c r="F66" s="9">
        <f>IF(A66="","",D66*E66)</f>
        <v/>
      </c>
    </row>
    <row r="67">
      <c r="E67" s="9" t="n"/>
      <c r="F67" s="9">
        <f>IF(A67="","",D67*E67)</f>
        <v/>
      </c>
    </row>
    <row r="68">
      <c r="E68" s="9" t="n"/>
      <c r="F68" s="9">
        <f>IF(A68="","",D68*E68)</f>
        <v/>
      </c>
    </row>
    <row r="69">
      <c r="E69" s="9" t="n"/>
      <c r="F69" s="9">
        <f>IF(A69="","",D69*E69)</f>
        <v/>
      </c>
    </row>
    <row r="70">
      <c r="E70" s="9" t="n"/>
      <c r="F70" s="9">
        <f>IF(A70="","",D70*E70)</f>
        <v/>
      </c>
    </row>
    <row r="71">
      <c r="E71" s="9" t="n"/>
      <c r="F71" s="9">
        <f>IF(A71="","",D71*E71)</f>
        <v/>
      </c>
    </row>
    <row r="72">
      <c r="E72" s="9" t="n"/>
      <c r="F72" s="9">
        <f>IF(A72="","",D72*E72)</f>
        <v/>
      </c>
    </row>
    <row r="73">
      <c r="E73" s="9" t="n"/>
      <c r="F73" s="9">
        <f>IF(A73="","",D73*E73)</f>
        <v/>
      </c>
    </row>
    <row r="74">
      <c r="E74" s="9" t="n"/>
      <c r="F74" s="9">
        <f>IF(A74="","",D74*E74)</f>
        <v/>
      </c>
    </row>
    <row r="75">
      <c r="E75" s="9" t="n"/>
      <c r="F75" s="9">
        <f>IF(A75="","",D75*E75)</f>
        <v/>
      </c>
    </row>
    <row r="76">
      <c r="E76" s="9" t="n"/>
      <c r="F76" s="9">
        <f>IF(A76="","",D76*E76)</f>
        <v/>
      </c>
    </row>
    <row r="77">
      <c r="E77" s="9" t="n"/>
      <c r="F77" s="9">
        <f>IF(A77="","",D77*E77)</f>
        <v/>
      </c>
    </row>
    <row r="78">
      <c r="E78" s="9" t="n"/>
      <c r="F78" s="9">
        <f>IF(A78="","",D78*E78)</f>
        <v/>
      </c>
    </row>
    <row r="79">
      <c r="E79" s="9" t="n"/>
      <c r="F79" s="9">
        <f>IF(A79="","",D79*E79)</f>
        <v/>
      </c>
    </row>
    <row r="80">
      <c r="E80" s="9" t="n"/>
      <c r="F80" s="9">
        <f>IF(A80="","",D80*E80)</f>
        <v/>
      </c>
    </row>
    <row r="81">
      <c r="E81" s="9" t="n"/>
      <c r="F81" s="9">
        <f>IF(A81="","",D81*E81)</f>
        <v/>
      </c>
    </row>
    <row r="82">
      <c r="E82" s="9" t="n"/>
      <c r="F82" s="9">
        <f>IF(A82="","",D82*E82)</f>
        <v/>
      </c>
    </row>
    <row r="83">
      <c r="E83" s="9" t="n"/>
      <c r="F83" s="9">
        <f>IF(A83="","",D83*E83)</f>
        <v/>
      </c>
    </row>
    <row r="84">
      <c r="E84" s="9" t="n"/>
      <c r="F84" s="9">
        <f>IF(A84="","",D84*E84)</f>
        <v/>
      </c>
    </row>
    <row r="85">
      <c r="E85" s="9" t="n"/>
      <c r="F85" s="9">
        <f>IF(A85="","",D85*E85)</f>
        <v/>
      </c>
    </row>
    <row r="86">
      <c r="E86" s="9" t="n"/>
      <c r="F86" s="9">
        <f>IF(A86="","",D86*E86)</f>
        <v/>
      </c>
    </row>
    <row r="87">
      <c r="E87" s="9" t="n"/>
      <c r="F87" s="9">
        <f>IF(A87="","",D87*E87)</f>
        <v/>
      </c>
    </row>
    <row r="88">
      <c r="E88" s="9" t="n"/>
      <c r="F88" s="9">
        <f>IF(A88="","",D88*E88)</f>
        <v/>
      </c>
    </row>
    <row r="89">
      <c r="E89" s="9" t="n"/>
      <c r="F89" s="9">
        <f>IF(A89="","",D89*E89)</f>
        <v/>
      </c>
    </row>
    <row r="90">
      <c r="E90" s="9" t="n"/>
      <c r="F90" s="9">
        <f>IF(A90="","",D90*E90)</f>
        <v/>
      </c>
    </row>
    <row r="91">
      <c r="E91" s="9" t="n"/>
      <c r="F91" s="9">
        <f>IF(A91="","",D91*E91)</f>
        <v/>
      </c>
    </row>
    <row r="92">
      <c r="E92" s="9" t="n"/>
      <c r="F92" s="9">
        <f>IF(A92="","",D92*E92)</f>
        <v/>
      </c>
    </row>
    <row r="93">
      <c r="E93" s="9" t="n"/>
      <c r="F93" s="9">
        <f>IF(A93="","",D93*E93)</f>
        <v/>
      </c>
    </row>
    <row r="94">
      <c r="E94" s="9" t="n"/>
      <c r="F94" s="9">
        <f>IF(A94="","",D94*E94)</f>
        <v/>
      </c>
    </row>
    <row r="95">
      <c r="E95" s="9" t="n"/>
      <c r="F95" s="9">
        <f>IF(A95="","",D95*E95)</f>
        <v/>
      </c>
    </row>
    <row r="96">
      <c r="E96" s="9" t="n"/>
      <c r="F96" s="9">
        <f>IF(A96="","",D96*E96)</f>
        <v/>
      </c>
    </row>
    <row r="97">
      <c r="E97" s="9" t="n"/>
      <c r="F97" s="9">
        <f>IF(A97="","",D97*E97)</f>
        <v/>
      </c>
    </row>
    <row r="98">
      <c r="E98" s="9" t="n"/>
      <c r="F98" s="9">
        <f>IF(A98="","",D98*E98)</f>
        <v/>
      </c>
    </row>
    <row r="99">
      <c r="E99" s="9" t="n"/>
      <c r="F99" s="9">
        <f>IF(A99="","",D99*E99)</f>
        <v/>
      </c>
    </row>
    <row r="100">
      <c r="E100" s="9" t="n"/>
      <c r="F100" s="9">
        <f>IF(A100="","",D100*E100)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50" customWidth="1" min="4" max="4"/>
    <col width="20" customWidth="1" min="5" max="5"/>
    <col width="11" customWidth="1" min="6" max="6"/>
    <col width="11" customWidth="1" min="7" max="7"/>
  </cols>
  <sheetData>
    <row r="1" ht="22" customHeight="1">
      <c r="A1" s="2" t="inlineStr">
        <is>
          <t>Platform</t>
        </is>
      </c>
      <c r="B1" s="2" t="inlineStr">
        <is>
          <t>CinemaId</t>
        </is>
      </c>
      <c r="C1" s="2" t="inlineStr">
        <is>
          <t>Name</t>
        </is>
      </c>
      <c r="D1" s="2" t="inlineStr">
        <is>
          <t>Address</t>
        </is>
      </c>
      <c r="E1" s="2" t="inlineStr">
        <is>
          <t>City</t>
        </is>
      </c>
      <c r="F1" s="2" t="inlineStr">
        <is>
          <t>Lat</t>
        </is>
      </c>
      <c r="G1" s="2" t="inlineStr">
        <is>
          <t>Lng</t>
        </is>
      </c>
    </row>
    <row r="2">
      <c r="A2" t="inlineStr">
        <is>
          <t>robinsons</t>
        </is>
      </c>
      <c r="B2" t="inlineStr">
        <is>
          <t>24</t>
        </is>
      </c>
      <c r="C2" t="inlineStr">
        <is>
          <t>Robinsons ANTIPOLO</t>
        </is>
      </c>
      <c r="D2" t="inlineStr">
        <is>
          <t>Sumulong Highway Brgy. Dela Paz Antipolo City Rizal</t>
        </is>
      </c>
      <c r="E2" t="inlineStr"/>
      <c r="F2" t="n">
        <v>14.5956319</v>
      </c>
      <c r="G2" t="n">
        <v>121.1731362</v>
      </c>
    </row>
    <row r="3">
      <c r="A3" t="inlineStr">
        <is>
          <t>robinsons</t>
        </is>
      </c>
      <c r="B3" t="inlineStr">
        <is>
          <t>30</t>
        </is>
      </c>
      <c r="C3" t="inlineStr">
        <is>
          <t>Robinsons ANTIQUE</t>
        </is>
      </c>
      <c r="D3" t="inlineStr">
        <is>
          <t>Brgy. San Angel, San Jose de Buenavista, Antique</t>
        </is>
      </c>
      <c r="E3" t="inlineStr"/>
      <c r="F3" t="n">
        <v>10.7356512</v>
      </c>
      <c r="G3" t="n">
        <v>121.9515543</v>
      </c>
    </row>
    <row r="4">
      <c r="A4" t="inlineStr">
        <is>
          <t>robinsons</t>
        </is>
      </c>
      <c r="B4" t="inlineStr">
        <is>
          <t>17</t>
        </is>
      </c>
      <c r="C4" t="inlineStr">
        <is>
          <t>Robinsons BACOLOD</t>
        </is>
      </c>
      <c r="D4" t="inlineStr">
        <is>
          <t>Level 4, Robinsons Place, Mandalagan, Bacolod City</t>
        </is>
      </c>
      <c r="E4" t="inlineStr"/>
      <c r="F4" t="n">
        <v>10.6913003</v>
      </c>
      <c r="G4" t="n">
        <v>122.9583181</v>
      </c>
    </row>
    <row r="5">
      <c r="A5" t="inlineStr">
        <is>
          <t>robinsons</t>
        </is>
      </c>
      <c r="B5" t="inlineStr">
        <is>
          <t>20</t>
        </is>
      </c>
      <c r="C5" t="inlineStr">
        <is>
          <t>Robinsons BUTUAN</t>
        </is>
      </c>
      <c r="D5" t="inlineStr">
        <is>
          <t>J. C. Aquino Ave., Butuan City 8600</t>
        </is>
      </c>
      <c r="E5" t="inlineStr"/>
      <c r="F5" t="n">
        <v>8.943195299999999</v>
      </c>
      <c r="G5" t="n">
        <v>125.5196907</v>
      </c>
    </row>
    <row r="6">
      <c r="A6" t="inlineStr">
        <is>
          <t>robinsons</t>
        </is>
      </c>
      <c r="B6" t="inlineStr">
        <is>
          <t>12</t>
        </is>
      </c>
      <c r="C6" t="inlineStr">
        <is>
          <t>Robinsons DASMARINAS</t>
        </is>
      </c>
      <c r="D6" t="inlineStr">
        <is>
          <t>Gen E. Aguinaldo Highway cor. Governors Drive, Sitio Palapala, Dasmariñas, Cavite</t>
        </is>
      </c>
      <c r="E6" t="inlineStr"/>
      <c r="F6" t="n">
        <v>14.3003459</v>
      </c>
      <c r="G6" t="n">
        <v>120.9535457</v>
      </c>
    </row>
    <row r="7">
      <c r="A7" t="inlineStr">
        <is>
          <t>robinsons</t>
        </is>
      </c>
      <c r="B7" t="inlineStr">
        <is>
          <t>15</t>
        </is>
      </c>
      <c r="C7" t="inlineStr">
        <is>
          <t>Robinsons DUMAGUETE</t>
        </is>
      </c>
      <c r="D7" t="inlineStr">
        <is>
          <t>Dumaguete Business Park, Calindagan, Dumaguete City, Negros Oriental</t>
        </is>
      </c>
      <c r="E7" t="inlineStr"/>
      <c r="F7" t="n">
        <v>9.2983873</v>
      </c>
      <c r="G7" t="n">
        <v>123.3036253</v>
      </c>
    </row>
    <row r="8">
      <c r="A8" t="inlineStr">
        <is>
          <t>robinsons</t>
        </is>
      </c>
      <c r="B8" t="inlineStr">
        <is>
          <t>26</t>
        </is>
      </c>
      <c r="C8" t="inlineStr">
        <is>
          <t>Robinsons GALLERIA CEBU</t>
        </is>
      </c>
      <c r="D8" t="inlineStr">
        <is>
          <t>Gen. Maxilom Ave. cor. Osmeña Blvd. 13th Ave. &amp; Benedicto St., North Reclamation Area, Cebu City</t>
        </is>
      </c>
      <c r="E8" t="inlineStr"/>
      <c r="F8" t="n">
        <v>10.3040543</v>
      </c>
      <c r="G8" t="n">
        <v>123.9112238</v>
      </c>
    </row>
    <row r="9">
      <c r="A9" t="inlineStr">
        <is>
          <t>robinsons</t>
        </is>
      </c>
      <c r="B9" t="inlineStr">
        <is>
          <t>1</t>
        </is>
      </c>
      <c r="C9" t="inlineStr">
        <is>
          <t>Robinsons GALLERIA ORTIGAS</t>
        </is>
      </c>
      <c r="D9" t="inlineStr">
        <is>
          <t>EDSA cor. Ortigas Avenue, Quezon City</t>
        </is>
      </c>
      <c r="E9" t="inlineStr"/>
      <c r="F9" t="n">
        <v>14.5912562</v>
      </c>
      <c r="G9" t="n">
        <v>121.0593148</v>
      </c>
    </row>
    <row r="10">
      <c r="A10" t="inlineStr">
        <is>
          <t>robinsons</t>
        </is>
      </c>
      <c r="B10" t="inlineStr">
        <is>
          <t>38</t>
        </is>
      </c>
      <c r="C10" t="inlineStr">
        <is>
          <t>Robinsons GALLERIA SOUTH</t>
        </is>
      </c>
      <c r="D10" t="inlineStr">
        <is>
          <t>4F Robinsons Galleria South KM. 31, National Highway, Brgy, Nueva, San Pedro, Laguna</t>
        </is>
      </c>
      <c r="E10" t="inlineStr"/>
      <c r="F10" t="n">
        <v>14.3520243</v>
      </c>
      <c r="G10" t="n">
        <v>121.0618698</v>
      </c>
    </row>
    <row r="11">
      <c r="A11" t="inlineStr">
        <is>
          <t>robinsons</t>
        </is>
      </c>
      <c r="B11" t="inlineStr">
        <is>
          <t>40</t>
        </is>
      </c>
      <c r="C11" t="inlineStr">
        <is>
          <t>Robinsons GAPAN</t>
        </is>
      </c>
      <c r="D11" t="inlineStr">
        <is>
          <t>Pan Pacific Highway, Gapan City, Nueva Ecija</t>
        </is>
      </c>
      <c r="E11" t="inlineStr"/>
      <c r="F11" t="n">
        <v>15.3008883</v>
      </c>
      <c r="G11" t="n">
        <v>120.9485542</v>
      </c>
    </row>
    <row r="12">
      <c r="A12" t="inlineStr">
        <is>
          <t>robinsons</t>
        </is>
      </c>
      <c r="B12" t="inlineStr">
        <is>
          <t>28</t>
        </is>
      </c>
      <c r="C12" t="inlineStr">
        <is>
          <t>Robinsons GENERAL TRIAS</t>
        </is>
      </c>
      <c r="D12" t="inlineStr">
        <is>
          <t>A. Soriano Highway Bacao Road GenTrias</t>
        </is>
      </c>
      <c r="E12" t="inlineStr"/>
      <c r="F12" t="n">
        <v>14.3971193</v>
      </c>
      <c r="G12" t="n">
        <v>120.8648394</v>
      </c>
    </row>
    <row r="13">
      <c r="A13" t="inlineStr">
        <is>
          <t>robinsons</t>
        </is>
      </c>
      <c r="B13" t="inlineStr">
        <is>
          <t>18</t>
        </is>
      </c>
      <c r="C13" t="inlineStr">
        <is>
          <t>Robinsons GENSAN</t>
        </is>
      </c>
      <c r="D13" t="inlineStr">
        <is>
          <t>J. Catolico Sr. Avenue, Lagao, General Santos City</t>
        </is>
      </c>
      <c r="E13" t="inlineStr"/>
      <c r="F13" t="n">
        <v>6.1212147</v>
      </c>
      <c r="G13" t="n">
        <v>125.1909435</v>
      </c>
    </row>
    <row r="14">
      <c r="A14" t="inlineStr">
        <is>
          <t>robinsons</t>
        </is>
      </c>
      <c r="B14" t="inlineStr">
        <is>
          <t>31</t>
        </is>
      </c>
      <c r="C14" t="inlineStr">
        <is>
          <t>Robinsons ILIGAN</t>
        </is>
      </c>
      <c r="D14" t="inlineStr">
        <is>
          <t>Brgy. Tubod, Iligan City, Lanao Del Norte</t>
        </is>
      </c>
      <c r="E14" t="inlineStr"/>
      <c r="F14" t="n">
        <v>8.2186567</v>
      </c>
      <c r="G14" t="n">
        <v>124.2395362</v>
      </c>
    </row>
    <row r="15">
      <c r="A15" t="inlineStr">
        <is>
          <t>robinsons</t>
        </is>
      </c>
      <c r="B15" t="inlineStr">
        <is>
          <t>6</t>
        </is>
      </c>
      <c r="C15" t="inlineStr">
        <is>
          <t>Robinsons ILOCOS</t>
        </is>
      </c>
      <c r="D15" t="inlineStr">
        <is>
          <t>Barangay 1 San Francisco, San Nicolas, Ilocos Norte</t>
        </is>
      </c>
      <c r="E15" t="inlineStr"/>
      <c r="F15" t="n">
        <v>18.1799185</v>
      </c>
      <c r="G15" t="n">
        <v>120.5928194</v>
      </c>
    </row>
    <row r="16">
      <c r="A16" t="inlineStr">
        <is>
          <t>robinsons</t>
        </is>
      </c>
      <c r="B16" t="inlineStr">
        <is>
          <t>14</t>
        </is>
      </c>
      <c r="C16" t="inlineStr">
        <is>
          <t>Robinsons ILOILO</t>
        </is>
      </c>
      <c r="D16" t="inlineStr">
        <is>
          <t>Robinsons Place Iloilo Corner De Leon &amp; Quezon Sts., Iloilo City</t>
        </is>
      </c>
      <c r="E16" t="inlineStr"/>
      <c r="F16" t="n">
        <v>10.6941958</v>
      </c>
      <c r="G16" t="n">
        <v>122.565573</v>
      </c>
    </row>
    <row r="17">
      <c r="A17" t="inlineStr">
        <is>
          <t>robinsons</t>
        </is>
      </c>
      <c r="B17" t="inlineStr">
        <is>
          <t>11</t>
        </is>
      </c>
      <c r="C17" t="inlineStr">
        <is>
          <t>Robinsons IMUS</t>
        </is>
      </c>
      <c r="D17" t="inlineStr">
        <is>
          <t>Gen. E. Aguinaldo Highway, Imus, Cavite</t>
        </is>
      </c>
      <c r="E17" t="inlineStr"/>
      <c r="F17" t="n">
        <v>14.4131926</v>
      </c>
      <c r="G17" t="n">
        <v>120.9422133</v>
      </c>
    </row>
    <row r="18">
      <c r="A18" t="inlineStr">
        <is>
          <t>robinsons</t>
        </is>
      </c>
      <c r="B18" t="inlineStr">
        <is>
          <t>29</t>
        </is>
      </c>
      <c r="C18" t="inlineStr">
        <is>
          <t>Robinsons JARO</t>
        </is>
      </c>
      <c r="D18" t="inlineStr">
        <is>
          <t>E Lopez St., Brgy. San Vicente Jaro Iloilo City</t>
        </is>
      </c>
      <c r="E18" t="inlineStr"/>
      <c r="F18" t="n">
        <v>10.7207705</v>
      </c>
      <c r="G18" t="n">
        <v>122.5580923</v>
      </c>
    </row>
    <row r="19">
      <c r="A19" t="inlineStr">
        <is>
          <t>robinsons</t>
        </is>
      </c>
      <c r="B19" t="inlineStr">
        <is>
          <t>39</t>
        </is>
      </c>
      <c r="C19" t="inlineStr">
        <is>
          <t>Robinsons LA UNION</t>
        </is>
      </c>
      <c r="D19" t="inlineStr">
        <is>
          <t>Mac Arthur Highway, Brgy. Sevilla, San Fernando City, La Union</t>
        </is>
      </c>
      <c r="E19" t="inlineStr"/>
      <c r="F19" t="n">
        <v>16.6003585</v>
      </c>
      <c r="G19" t="n">
        <v>120.3185333</v>
      </c>
    </row>
    <row r="20">
      <c r="A20" t="inlineStr">
        <is>
          <t>robinsons</t>
        </is>
      </c>
      <c r="B20" t="inlineStr">
        <is>
          <t>25</t>
        </is>
      </c>
      <c r="C20" t="inlineStr">
        <is>
          <t>Robinsons LAS PINAS</t>
        </is>
      </c>
      <c r="D20" t="inlineStr"/>
      <c r="E20" t="inlineStr"/>
      <c r="F20" t="n">
        <v>14.4429606</v>
      </c>
      <c r="G20" t="n">
        <v>120.9983492</v>
      </c>
    </row>
    <row r="21">
      <c r="A21" t="inlineStr">
        <is>
          <t>robinsons</t>
        </is>
      </c>
      <c r="B21" t="inlineStr">
        <is>
          <t>13</t>
        </is>
      </c>
      <c r="C21" t="inlineStr">
        <is>
          <t>Robinsons LIPA</t>
        </is>
      </c>
      <c r="D21" t="inlineStr">
        <is>
          <t>JP Laurel, Nat’l Highway, Mataas na Lupa, Lipa City</t>
        </is>
      </c>
      <c r="E21" t="inlineStr"/>
      <c r="F21" t="n">
        <v>13.9437369</v>
      </c>
      <c r="G21" t="n">
        <v>121.150577</v>
      </c>
    </row>
    <row r="22">
      <c r="A22" t="inlineStr">
        <is>
          <t>robinsons</t>
        </is>
      </c>
      <c r="B22" t="inlineStr">
        <is>
          <t>5</t>
        </is>
      </c>
      <c r="C22" t="inlineStr">
        <is>
          <t>Robinsons MAGNOLIA</t>
        </is>
      </c>
      <c r="D22" t="inlineStr">
        <is>
          <t>Aurora Blvd. cor. Dona Hemady St. Quezon City</t>
        </is>
      </c>
      <c r="E22" t="inlineStr"/>
      <c r="F22" t="n">
        <v>14.6145676</v>
      </c>
      <c r="G22" t="n">
        <v>121.0380522</v>
      </c>
    </row>
    <row r="23">
      <c r="A23" t="inlineStr">
        <is>
          <t>robinsons</t>
        </is>
      </c>
      <c r="B23" t="inlineStr">
        <is>
          <t>21</t>
        </is>
      </c>
      <c r="C23" t="inlineStr">
        <is>
          <t>Robinsons MALOLOS</t>
        </is>
      </c>
      <c r="D23" t="inlineStr">
        <is>
          <t>Brgy. Sumapang Matanda, Mc Arthur Highway, Malolos, Bulacan</t>
        </is>
      </c>
      <c r="E23" t="inlineStr"/>
      <c r="F23" t="n">
        <v>14.8490667</v>
      </c>
      <c r="G23" t="n">
        <v>120.8243606</v>
      </c>
    </row>
    <row r="24">
      <c r="A24" t="inlineStr">
        <is>
          <t>robinsons</t>
        </is>
      </c>
      <c r="B24" t="inlineStr">
        <is>
          <t>2</t>
        </is>
      </c>
      <c r="C24" t="inlineStr">
        <is>
          <t>Robinsons MANILA</t>
        </is>
      </c>
      <c r="D24" t="inlineStr">
        <is>
          <t>Pedro Gil cor. Adriatico Streets, Ermita, Manila</t>
        </is>
      </c>
      <c r="E24" t="inlineStr"/>
      <c r="F24" t="n">
        <v>14.5764417</v>
      </c>
      <c r="G24" t="n">
        <v>120.9837939</v>
      </c>
    </row>
    <row r="25">
      <c r="A25" t="inlineStr">
        <is>
          <t>robinsons</t>
        </is>
      </c>
      <c r="B25" t="inlineStr">
        <is>
          <t>3</t>
        </is>
      </c>
      <c r="C25" t="inlineStr">
        <is>
          <t>Robinsons METRO EAST</t>
        </is>
      </c>
      <c r="D25" t="inlineStr">
        <is>
          <t>Marcos Highway, Barangay Dela Paz, Santolan, Pasig City</t>
        </is>
      </c>
      <c r="E25" t="inlineStr"/>
      <c r="F25" t="n">
        <v>14.6194585</v>
      </c>
      <c r="G25" t="n">
        <v>121.1000205</v>
      </c>
    </row>
    <row r="26">
      <c r="A26" t="inlineStr">
        <is>
          <t>robinsons</t>
        </is>
      </c>
      <c r="B26" t="inlineStr">
        <is>
          <t>32</t>
        </is>
      </c>
      <c r="C26" t="inlineStr">
        <is>
          <t>Robinsons NAGA</t>
        </is>
      </c>
      <c r="D26" t="inlineStr">
        <is>
          <t>Roxas Avenue Corner, Almeda Hwy, Naga, Camarines Sur</t>
        </is>
      </c>
      <c r="E26" t="inlineStr"/>
      <c r="F26" t="n">
        <v>13.6144109</v>
      </c>
      <c r="G26" t="n">
        <v>123.1927295</v>
      </c>
    </row>
    <row r="27">
      <c r="A27" t="inlineStr">
        <is>
          <t>robinsons</t>
        </is>
      </c>
      <c r="B27" t="inlineStr">
        <is>
          <t>33</t>
        </is>
      </c>
      <c r="C27" t="inlineStr">
        <is>
          <t>Robinsons NORTH TACLOBAN</t>
        </is>
      </c>
      <c r="D27" t="inlineStr">
        <is>
          <t>L3 R North Tacloban Pres. Osmena Rd., Abucay, Tacloban City, Leyte</t>
        </is>
      </c>
      <c r="E27" t="inlineStr"/>
      <c r="F27" t="n">
        <v>11.2402067</v>
      </c>
      <c r="G27" t="n">
        <v>124.9867268</v>
      </c>
    </row>
    <row r="28">
      <c r="A28" t="inlineStr">
        <is>
          <t>robinsons</t>
        </is>
      </c>
      <c r="B28" t="inlineStr">
        <is>
          <t>34</t>
        </is>
      </c>
      <c r="C28" t="inlineStr">
        <is>
          <t>Robinsons ORMOC</t>
        </is>
      </c>
      <c r="D28" t="inlineStr">
        <is>
          <t>L3 RP Ormoc, Chrysanthemum St., Brgy. Cogon Palo Carigara rd., Ormoc City, Leyte</t>
        </is>
      </c>
      <c r="E28" t="inlineStr"/>
      <c r="F28" t="n">
        <v>11.025108</v>
      </c>
      <c r="G28" t="n">
        <v>124.6052122</v>
      </c>
    </row>
    <row r="29">
      <c r="A29" t="inlineStr">
        <is>
          <t>robinsons</t>
        </is>
      </c>
      <c r="B29" t="inlineStr">
        <is>
          <t>43</t>
        </is>
      </c>
      <c r="C29" t="inlineStr">
        <is>
          <t>Robinsons PAGADIAN</t>
        </is>
      </c>
      <c r="D29" t="inlineStr">
        <is>
          <t>Level 3, Robinsons Pagadian, FS Pajares Ave. cor. P.L Urro St., San Francisco, City of Pagadian 7016</t>
        </is>
      </c>
      <c r="E29" t="inlineStr"/>
      <c r="F29" t="n">
        <v>7.8272434</v>
      </c>
      <c r="G29" t="n">
        <v>123.4377692</v>
      </c>
    </row>
    <row r="30">
      <c r="A30" t="inlineStr">
        <is>
          <t>robinsons</t>
        </is>
      </c>
      <c r="B30" t="inlineStr">
        <is>
          <t>19</t>
        </is>
      </c>
      <c r="C30" t="inlineStr">
        <is>
          <t>Robinsons PALAWAN</t>
        </is>
      </c>
      <c r="D30" t="inlineStr">
        <is>
          <t>National Highway, Brgy. San Manuel Puerto Princesa City</t>
        </is>
      </c>
      <c r="E30" t="inlineStr"/>
      <c r="F30" t="n">
        <v>9.767203200000001</v>
      </c>
      <c r="G30" t="n">
        <v>118.7484629</v>
      </c>
    </row>
    <row r="31">
      <c r="A31" t="inlineStr">
        <is>
          <t>robinsons</t>
        </is>
      </c>
      <c r="B31" t="inlineStr">
        <is>
          <t>7</t>
        </is>
      </c>
      <c r="C31" t="inlineStr">
        <is>
          <t>Robinsons PANGASINAN</t>
        </is>
      </c>
      <c r="D31" t="inlineStr">
        <is>
          <t>McArthur Highway, Brgy. San Miguel, Calasiao, Pangasinan</t>
        </is>
      </c>
      <c r="E31" t="inlineStr"/>
      <c r="F31" t="n">
        <v>16.0222582</v>
      </c>
      <c r="G31" t="n">
        <v>120.3590306</v>
      </c>
    </row>
    <row r="32">
      <c r="A32" t="inlineStr">
        <is>
          <t>robinsons</t>
        </is>
      </c>
      <c r="B32" t="inlineStr">
        <is>
          <t>35</t>
        </is>
      </c>
      <c r="C32" t="inlineStr">
        <is>
          <t>Robinsons PAVIA</t>
        </is>
      </c>
      <c r="D32" t="inlineStr">
        <is>
          <t>Pavia, Iloilo</t>
        </is>
      </c>
      <c r="E32" t="inlineStr"/>
      <c r="F32" t="n">
        <v>10.7534851</v>
      </c>
      <c r="G32" t="n">
        <v>122.540166</v>
      </c>
    </row>
    <row r="33">
      <c r="A33" t="inlineStr">
        <is>
          <t>robinsons</t>
        </is>
      </c>
      <c r="B33" t="inlineStr">
        <is>
          <t>22</t>
        </is>
      </c>
      <c r="C33" t="inlineStr">
        <is>
          <t>Robinsons ROXAS</t>
        </is>
      </c>
      <c r="D33" t="inlineStr">
        <is>
          <t xml:space="preserve">Immaculate Heart of Mary Avenue, Brgy. Lawa-an, Roxas City, Capiz </t>
        </is>
      </c>
      <c r="E33" t="inlineStr"/>
      <c r="F33" t="n">
        <v>11.5679558</v>
      </c>
      <c r="G33" t="n">
        <v>122.75063</v>
      </c>
    </row>
    <row r="34">
      <c r="A34" t="inlineStr">
        <is>
          <t>robinsons</t>
        </is>
      </c>
      <c r="B34" t="inlineStr">
        <is>
          <t>23</t>
        </is>
      </c>
      <c r="C34" t="inlineStr">
        <is>
          <t>Robinsons SANTIAGO</t>
        </is>
      </c>
      <c r="D34" t="inlineStr">
        <is>
          <t xml:space="preserve">Maharlika Highway, Mabini Santiago City , Isabela </t>
        </is>
      </c>
      <c r="E34" t="inlineStr"/>
      <c r="F34" t="n">
        <v>16.6960454</v>
      </c>
      <c r="G34" t="n">
        <v>121.56139</v>
      </c>
    </row>
    <row r="35">
      <c r="A35" t="inlineStr">
        <is>
          <t>robinsons</t>
        </is>
      </c>
      <c r="B35" t="inlineStr">
        <is>
          <t>10</t>
        </is>
      </c>
      <c r="C35" t="inlineStr">
        <is>
          <t>Robinsons STA. ROSA</t>
        </is>
      </c>
      <c r="D35" t="inlineStr">
        <is>
          <t xml:space="preserve">Old National Highway, Brgy. Tagapo, Sta. Rosa, Laguna </t>
        </is>
      </c>
      <c r="E35" t="inlineStr"/>
      <c r="F35" t="n">
        <v>14.3194021</v>
      </c>
      <c r="G35" t="n">
        <v>121.0964735</v>
      </c>
    </row>
    <row r="36">
      <c r="A36" t="inlineStr">
        <is>
          <t>robinsons</t>
        </is>
      </c>
      <c r="B36" t="inlineStr">
        <is>
          <t>8</t>
        </is>
      </c>
      <c r="C36" t="inlineStr">
        <is>
          <t>Robinsons STARMILLS</t>
        </is>
      </c>
      <c r="D36" t="inlineStr">
        <is>
          <t xml:space="preserve">Brgy. San Jose City of San Fernando, Pampanga </t>
        </is>
      </c>
      <c r="E36" t="inlineStr"/>
      <c r="F36" t="n">
        <v>15.0486335</v>
      </c>
      <c r="G36" t="n">
        <v>120.698432</v>
      </c>
    </row>
    <row r="37">
      <c r="A37" t="inlineStr">
        <is>
          <t>robinsons</t>
        </is>
      </c>
      <c r="B37" t="inlineStr">
        <is>
          <t>16</t>
        </is>
      </c>
      <c r="C37" t="inlineStr">
        <is>
          <t>Robinsons TACLOBAN</t>
        </is>
      </c>
      <c r="D37" t="inlineStr">
        <is>
          <t>Tabuan Natiobal Highway, Marasbaras, Tacloban City 6500</t>
        </is>
      </c>
      <c r="E37" t="inlineStr"/>
      <c r="F37" t="n">
        <v>11.2076707</v>
      </c>
      <c r="G37" t="n">
        <v>125.0073017</v>
      </c>
    </row>
    <row r="38">
      <c r="A38" t="inlineStr">
        <is>
          <t>robinsons</t>
        </is>
      </c>
      <c r="B38" t="inlineStr">
        <is>
          <t>27</t>
        </is>
      </c>
      <c r="C38" t="inlineStr">
        <is>
          <t>Robinsons TAGUM</t>
        </is>
      </c>
      <c r="D38" t="inlineStr">
        <is>
          <t>Robinsons Land Tagum, National Highway, Davao del Norte</t>
        </is>
      </c>
      <c r="E38" t="inlineStr"/>
      <c r="F38" t="n">
        <v>7.4295685</v>
      </c>
      <c r="G38" t="n">
        <v>125.7975282</v>
      </c>
    </row>
    <row r="39">
      <c r="A39" t="inlineStr">
        <is>
          <t>robinsons</t>
        </is>
      </c>
      <c r="B39" t="inlineStr">
        <is>
          <t>36</t>
        </is>
      </c>
      <c r="C39" t="inlineStr">
        <is>
          <t>Robinsons TUGUEGARAO</t>
        </is>
      </c>
      <c r="D39" t="inlineStr">
        <is>
          <t>Level 2, Brgy. Tanza, Tuguegarao City, Cagayan</t>
        </is>
      </c>
      <c r="E39" t="inlineStr"/>
      <c r="F39" t="n">
        <v>17.628065</v>
      </c>
      <c r="G39" t="n">
        <v>121.7335008</v>
      </c>
    </row>
    <row r="40">
      <c r="A40" t="inlineStr">
        <is>
          <t>robinsons</t>
        </is>
      </c>
      <c r="B40" t="inlineStr">
        <is>
          <t>37</t>
        </is>
      </c>
      <c r="C40" t="inlineStr">
        <is>
          <t>Robinsons VALENCIA</t>
        </is>
      </c>
      <c r="D40" t="inlineStr">
        <is>
          <t>Valencia City, Bukidnon</t>
        </is>
      </c>
      <c r="E40" t="inlineStr"/>
      <c r="F40" t="n">
        <v>7.9342835</v>
      </c>
      <c r="G40" t="n">
        <v>125.1003132</v>
      </c>
    </row>
    <row r="41">
      <c r="A41" t="inlineStr">
        <is>
          <t>smcinema</t>
        </is>
      </c>
      <c r="B41" t="inlineStr">
        <is>
          <t>8102</t>
        </is>
      </c>
      <c r="C41" t="inlineStr">
        <is>
          <t>Light Residences</t>
        </is>
      </c>
      <c r="D41" t="inlineStr">
        <is>
          <t>EDSA Cor Madison St, Brgy Barangka Ilaya, Mandaluyong City</t>
        </is>
      </c>
      <c r="E41" t="inlineStr">
        <is>
          <t>Mandaluyong City</t>
        </is>
      </c>
      <c r="F41" t="n">
        <v>14.573694</v>
      </c>
      <c r="G41" t="n">
        <v>121.0491418</v>
      </c>
    </row>
    <row r="42">
      <c r="A42" t="inlineStr">
        <is>
          <t>smcinema</t>
        </is>
      </c>
      <c r="B42" t="inlineStr">
        <is>
          <t>2039</t>
        </is>
      </c>
      <c r="C42" t="inlineStr">
        <is>
          <t>SM Aura Premier</t>
        </is>
      </c>
      <c r="D42" t="inlineStr">
        <is>
          <t>26th St Cor. Mc Kinley, Parkway Brgy Fort Bonifacio, Global City Taguig City 1630</t>
        </is>
      </c>
      <c r="E42" t="inlineStr">
        <is>
          <t>Global City Taguig City 1630</t>
        </is>
      </c>
      <c r="F42" t="n">
        <v>14.5459458</v>
      </c>
      <c r="G42" t="n">
        <v>121.0538457</v>
      </c>
    </row>
    <row r="43">
      <c r="A43" t="inlineStr">
        <is>
          <t>smcinema</t>
        </is>
      </c>
      <c r="B43" t="inlineStr">
        <is>
          <t>2076</t>
        </is>
      </c>
      <c r="C43" t="inlineStr">
        <is>
          <t>SM CDO Downtown Premier</t>
        </is>
      </c>
      <c r="D43" t="inlineStr">
        <is>
          <t>CM Recto Ave Cor Osmeña St, Bgry 24 Pob, Cagayan Misamis Oriental</t>
        </is>
      </c>
      <c r="E43" t="inlineStr">
        <is>
          <t>Cagayan Misamis Oriental</t>
        </is>
      </c>
      <c r="F43" t="n">
        <v>8.48434</v>
      </c>
      <c r="G43" t="n">
        <v>124.6546655</v>
      </c>
    </row>
    <row r="44">
      <c r="A44" t="inlineStr">
        <is>
          <t>smcinema</t>
        </is>
      </c>
      <c r="B44" t="inlineStr">
        <is>
          <t>2071</t>
        </is>
      </c>
      <c r="C44" t="inlineStr">
        <is>
          <t>SM Center Angono</t>
        </is>
      </c>
      <c r="D44" t="inlineStr">
        <is>
          <t>Manila East Road, Brgy San Isidro, 1930, Angono Rizal</t>
        </is>
      </c>
      <c r="E44" t="inlineStr">
        <is>
          <t>Angono Rizal</t>
        </is>
      </c>
      <c r="F44" t="n">
        <v>14.530883</v>
      </c>
      <c r="G44" t="n">
        <v>121.1545465</v>
      </c>
    </row>
    <row r="45">
      <c r="A45" t="inlineStr">
        <is>
          <t>smcinema</t>
        </is>
      </c>
      <c r="B45" t="inlineStr">
        <is>
          <t>2026</t>
        </is>
      </c>
      <c r="C45" t="inlineStr">
        <is>
          <t>SM Center Muntinlupa</t>
        </is>
      </c>
      <c r="D45" t="inlineStr">
        <is>
          <t>National RD, Brgy Tunasan, Muntinlupa City</t>
        </is>
      </c>
      <c r="E45" t="inlineStr">
        <is>
          <t>Muntinlupa City</t>
        </is>
      </c>
      <c r="F45" t="n">
        <v>14.3782935</v>
      </c>
      <c r="G45" t="n">
        <v>121.0462663</v>
      </c>
    </row>
    <row r="46">
      <c r="A46" t="inlineStr">
        <is>
          <t>smcinema</t>
        </is>
      </c>
      <c r="B46" t="inlineStr">
        <is>
          <t>2163</t>
        </is>
      </c>
      <c r="C46" t="inlineStr">
        <is>
          <t>SM Center Ormoc</t>
        </is>
      </c>
      <c r="D46" t="inlineStr">
        <is>
          <t>Real Street Barangay 14(Pob.), Ormoc City</t>
        </is>
      </c>
      <c r="E46" t="inlineStr">
        <is>
          <t>Ormoc City</t>
        </is>
      </c>
      <c r="F46" t="n">
        <v>11.0109513</v>
      </c>
      <c r="G46" t="n">
        <v>124.6077107</v>
      </c>
    </row>
    <row r="47">
      <c r="A47" t="inlineStr">
        <is>
          <t>smcinema</t>
        </is>
      </c>
      <c r="B47" t="inlineStr">
        <is>
          <t>2158</t>
        </is>
      </c>
      <c r="C47" t="inlineStr">
        <is>
          <t>SM Center Pulilan</t>
        </is>
      </c>
      <c r="D47" t="inlineStr">
        <is>
          <t>Plaridel-Pulilan Diversion Rd, Santo Cristo 3005, Pulilan Bulacan Philippines</t>
        </is>
      </c>
      <c r="E47" t="inlineStr">
        <is>
          <t>Pulilan Bulacan Philippines</t>
        </is>
      </c>
      <c r="F47" t="n">
        <v>14.8991079</v>
      </c>
      <c r="G47" t="n">
        <v>120.8690895</v>
      </c>
    </row>
    <row r="48">
      <c r="A48" t="inlineStr">
        <is>
          <t>smcinema</t>
        </is>
      </c>
      <c r="B48" t="inlineStr">
        <is>
          <t>2078</t>
        </is>
      </c>
      <c r="C48" t="inlineStr">
        <is>
          <t>SM Center Sangandaan</t>
        </is>
      </c>
      <c r="D48" t="inlineStr">
        <is>
          <t>Marcelo H Del Pilar St, Cor Samson Road Brgy 003, Caloocan City</t>
        </is>
      </c>
      <c r="E48" t="inlineStr">
        <is>
          <t>Caloocan City</t>
        </is>
      </c>
      <c r="F48" t="n">
        <v>14.6583153</v>
      </c>
      <c r="G48" t="n">
        <v>120.9719176</v>
      </c>
    </row>
    <row r="49">
      <c r="A49" t="inlineStr">
        <is>
          <t>smcinema</t>
        </is>
      </c>
      <c r="B49" t="inlineStr">
        <is>
          <t>2050</t>
        </is>
      </c>
      <c r="C49" t="inlineStr">
        <is>
          <t>SM City BF Paranaque</t>
        </is>
      </c>
      <c r="D49" t="inlineStr">
        <is>
          <t>Dr. A. Santos Ave. Cor., Presidents Ave Brgy BF Homes, Paranaque City</t>
        </is>
      </c>
      <c r="E49" t="inlineStr">
        <is>
          <t>Paranaque City</t>
        </is>
      </c>
      <c r="F49" t="n">
        <v>14.4573274</v>
      </c>
      <c r="G49" t="n">
        <v>121.0331816</v>
      </c>
    </row>
    <row r="50">
      <c r="A50" t="inlineStr">
        <is>
          <t>smcinema</t>
        </is>
      </c>
      <c r="B50" t="inlineStr">
        <is>
          <t>2024</t>
        </is>
      </c>
      <c r="C50" t="inlineStr">
        <is>
          <t>SM City Bacolod</t>
        </is>
      </c>
      <c r="D50" t="inlineStr">
        <is>
          <t>Reclamation Area, Bacolod City Philippines 6100</t>
        </is>
      </c>
      <c r="E50" t="inlineStr">
        <is>
          <t>Bacolod City Philippines 6100</t>
        </is>
      </c>
      <c r="F50" t="n">
        <v>10.6722145</v>
      </c>
      <c r="G50" t="n">
        <v>122.9443594</v>
      </c>
    </row>
    <row r="51">
      <c r="A51" t="inlineStr">
        <is>
          <t>smcinema</t>
        </is>
      </c>
      <c r="B51" t="inlineStr">
        <is>
          <t>2006</t>
        </is>
      </c>
      <c r="C51" t="inlineStr">
        <is>
          <t>SM City Bacoor</t>
        </is>
      </c>
      <c r="D51" t="inlineStr">
        <is>
          <t>Aguinaldo Hi-way, BO Habay II, Bacoor, Cavite</t>
        </is>
      </c>
      <c r="E51" t="inlineStr">
        <is>
          <t>Bacoor, Cavite</t>
        </is>
      </c>
      <c r="F51" t="n">
        <v>14.444592</v>
      </c>
      <c r="G51" t="n">
        <v>120.9503333</v>
      </c>
    </row>
    <row r="52">
      <c r="A52" t="inlineStr">
        <is>
          <t>smcinema</t>
        </is>
      </c>
      <c r="B52" t="inlineStr">
        <is>
          <t>2016</t>
        </is>
      </c>
      <c r="C52" t="inlineStr">
        <is>
          <t>SM City Baguio</t>
        </is>
      </c>
      <c r="D52" t="inlineStr">
        <is>
          <t>Luneta Hill, Upper Session Road, Baguio City</t>
        </is>
      </c>
      <c r="E52" t="inlineStr">
        <is>
          <t>Baguio City</t>
        </is>
      </c>
      <c r="F52" t="n">
        <v>16.408943</v>
      </c>
      <c r="G52" t="n">
        <v>120.599174</v>
      </c>
    </row>
    <row r="53">
      <c r="A53" t="inlineStr">
        <is>
          <t>smcinema</t>
        </is>
      </c>
      <c r="B53" t="inlineStr">
        <is>
          <t>2029</t>
        </is>
      </c>
      <c r="C53" t="inlineStr">
        <is>
          <t>SM City Baliwag</t>
        </is>
      </c>
      <c r="D53" t="inlineStr">
        <is>
          <t>Dona Remedios Trinidad, Highway Brgy Pagala, Baliwag Bulacan</t>
        </is>
      </c>
      <c r="E53" t="inlineStr">
        <is>
          <t>Baliwag Bulacan</t>
        </is>
      </c>
      <c r="F53" t="n">
        <v>14.9606609</v>
      </c>
      <c r="G53" t="n">
        <v>120.8909046</v>
      </c>
    </row>
    <row r="54">
      <c r="A54" t="inlineStr">
        <is>
          <t>smcinema</t>
        </is>
      </c>
      <c r="B54" t="inlineStr">
        <is>
          <t>2161</t>
        </is>
      </c>
      <c r="C54" t="inlineStr">
        <is>
          <t>SM City Bataan</t>
        </is>
      </c>
      <c r="D54" t="inlineStr">
        <is>
          <t>Lerma Street Ibayo 2100, City of Balanga (Capital), Bataan, Philippines</t>
        </is>
      </c>
      <c r="E54" t="inlineStr">
        <is>
          <t>Bataan, Philippines</t>
        </is>
      </c>
      <c r="F54" t="n">
        <v>14.6830221</v>
      </c>
      <c r="G54" t="n">
        <v>120.5369961</v>
      </c>
    </row>
    <row r="55">
      <c r="A55" t="inlineStr">
        <is>
          <t>smcinema</t>
        </is>
      </c>
      <c r="B55" t="inlineStr">
        <is>
          <t>2302</t>
        </is>
      </c>
      <c r="C55" t="inlineStr">
        <is>
          <t>SM City Batangas</t>
        </is>
      </c>
      <c r="D55" t="inlineStr">
        <is>
          <t>Pastor Village, Brgy. Pallocan Kanluran, Batangas CitySSS</t>
        </is>
      </c>
      <c r="E55" t="inlineStr">
        <is>
          <t>Batangas CitySSS</t>
        </is>
      </c>
      <c r="F55" t="n">
        <v>13.7555417</v>
      </c>
      <c r="G55" t="n">
        <v>121.06878</v>
      </c>
    </row>
    <row r="56">
      <c r="A56" t="inlineStr">
        <is>
          <t>smcinema</t>
        </is>
      </c>
      <c r="B56" t="inlineStr">
        <is>
          <t>2014</t>
        </is>
      </c>
      <c r="C56" t="inlineStr">
        <is>
          <t>SM City Bicutan</t>
        </is>
      </c>
      <c r="D56" t="inlineStr">
        <is>
          <t>Dona Soledad Ave., Don Bosco, Fourth District, Paranaque City</t>
        </is>
      </c>
      <c r="E56" t="inlineStr">
        <is>
          <t>Paranaque City</t>
        </is>
      </c>
      <c r="F56" t="n">
        <v>14.4864</v>
      </c>
      <c r="G56" t="n">
        <v>121.042492</v>
      </c>
    </row>
    <row r="57">
      <c r="A57" t="inlineStr">
        <is>
          <t>smcinema</t>
        </is>
      </c>
      <c r="B57" t="inlineStr">
        <is>
          <t>2072</t>
        </is>
      </c>
      <c r="C57" t="inlineStr">
        <is>
          <t>SM City Butuan</t>
        </is>
      </c>
      <c r="D57" t="inlineStr">
        <is>
          <t>JC Aquino Avenue, Barangay Lapu-lapu, Butuan City</t>
        </is>
      </c>
      <c r="E57" t="inlineStr">
        <is>
          <t>Butuan City</t>
        </is>
      </c>
      <c r="F57" t="n">
        <v>8.9454876</v>
      </c>
      <c r="G57" t="n">
        <v>125.533729</v>
      </c>
    </row>
    <row r="58">
      <c r="A58" t="inlineStr">
        <is>
          <t>smcinema</t>
        </is>
      </c>
      <c r="B58" t="inlineStr">
        <is>
          <t>2064</t>
        </is>
      </c>
      <c r="C58" t="inlineStr">
        <is>
          <t>SM City Cabanatuan</t>
        </is>
      </c>
      <c r="D58" t="inlineStr">
        <is>
          <t>Along Maharlika Highway, Brgy H Concepcion, Cabanatuan City</t>
        </is>
      </c>
      <c r="E58" t="inlineStr">
        <is>
          <t>Cabanatuan City</t>
        </is>
      </c>
      <c r="F58" t="n">
        <v>15.4668497</v>
      </c>
      <c r="G58" t="n">
        <v>120.9550739</v>
      </c>
    </row>
    <row r="59">
      <c r="A59" t="inlineStr">
        <is>
          <t>smcinema</t>
        </is>
      </c>
      <c r="B59" t="inlineStr">
        <is>
          <t>2013</t>
        </is>
      </c>
      <c r="C59" t="inlineStr">
        <is>
          <t>SM City Cagayan de Oro</t>
        </is>
      </c>
      <c r="D59" t="inlineStr">
        <is>
          <t>Brgy Upper Carmen, Cagayan De Oro City, Misamis Oriental</t>
        </is>
      </c>
      <c r="E59" t="inlineStr">
        <is>
          <t>Misamis Oriental</t>
        </is>
      </c>
      <c r="F59" t="n">
        <v>8.456716699999999</v>
      </c>
      <c r="G59" t="n">
        <v>124.6233719</v>
      </c>
    </row>
    <row r="60">
      <c r="A60" t="inlineStr">
        <is>
          <t>smcinema</t>
        </is>
      </c>
      <c r="B60" t="inlineStr">
        <is>
          <t>2034</t>
        </is>
      </c>
      <c r="C60" t="inlineStr">
        <is>
          <t>SM City Calamba</t>
        </is>
      </c>
      <c r="D60" t="inlineStr">
        <is>
          <t>National Road, Brgy Real, Calamba City Laguna</t>
        </is>
      </c>
      <c r="E60" t="inlineStr">
        <is>
          <t>Calamba City Laguna</t>
        </is>
      </c>
      <c r="F60" t="n">
        <v>14.2031846</v>
      </c>
      <c r="G60" t="n">
        <v>121.1549346</v>
      </c>
    </row>
    <row r="61">
      <c r="A61" t="inlineStr">
        <is>
          <t>smcinema</t>
        </is>
      </c>
      <c r="B61" t="inlineStr">
        <is>
          <t>2192</t>
        </is>
      </c>
      <c r="C61" t="inlineStr">
        <is>
          <t>SM City Caloocan</t>
        </is>
      </c>
      <c r="D61" t="inlineStr">
        <is>
          <t>Deparo Road Zone 15, Barangay 171 District 1, Bagumbong 1421, Caloocan City</t>
        </is>
      </c>
      <c r="E61" t="inlineStr">
        <is>
          <t>Bagumbong 1421, Caloocan City</t>
        </is>
      </c>
      <c r="F61" t="n">
        <v>14.751684</v>
      </c>
      <c r="G61" t="n">
        <v>121.019876</v>
      </c>
    </row>
    <row r="62">
      <c r="A62" t="inlineStr">
        <is>
          <t>smcinema</t>
        </is>
      </c>
      <c r="B62" t="inlineStr">
        <is>
          <t>2070</t>
        </is>
      </c>
      <c r="C62" t="inlineStr">
        <is>
          <t>SM City Cauayan</t>
        </is>
      </c>
      <c r="D62" t="inlineStr">
        <is>
          <t>Maharlika Highway, Brgy. District II, Cauayan City, Isabela</t>
        </is>
      </c>
      <c r="E62" t="inlineStr">
        <is>
          <t>Cauayan City, Isabela</t>
        </is>
      </c>
      <c r="F62" t="n">
        <v>16.9364218</v>
      </c>
      <c r="G62" t="n">
        <v>121.7689762</v>
      </c>
    </row>
    <row r="63">
      <c r="A63" t="inlineStr">
        <is>
          <t>smcinema</t>
        </is>
      </c>
      <c r="B63" t="inlineStr">
        <is>
          <t>2004</t>
        </is>
      </c>
      <c r="C63" t="inlineStr">
        <is>
          <t>SM City Cebu</t>
        </is>
      </c>
      <c r="D63" t="inlineStr">
        <is>
          <t>North Reclamation Area, Cebu City 6000</t>
        </is>
      </c>
      <c r="E63" t="inlineStr">
        <is>
          <t>Cebu City 6000</t>
        </is>
      </c>
      <c r="F63" t="n">
        <v>10.3116437</v>
      </c>
      <c r="G63" t="n">
        <v>123.91813</v>
      </c>
    </row>
    <row r="64">
      <c r="A64" t="inlineStr">
        <is>
          <t>smcinema</t>
        </is>
      </c>
      <c r="B64" t="inlineStr">
        <is>
          <t>2202</t>
        </is>
      </c>
      <c r="C64" t="inlineStr">
        <is>
          <t>SM City Clark</t>
        </is>
      </c>
      <c r="D64" t="inlineStr">
        <is>
          <t>M.A. Roxas Highway, Malabanias Angeles City</t>
        </is>
      </c>
      <c r="E64" t="inlineStr">
        <is>
          <t>Malabanias Angeles City</t>
        </is>
      </c>
      <c r="F64" t="n">
        <v>15.1688409</v>
      </c>
      <c r="G64" t="n">
        <v>120.5801715</v>
      </c>
    </row>
    <row r="65">
      <c r="A65" t="inlineStr">
        <is>
          <t>smcinema</t>
        </is>
      </c>
      <c r="B65" t="inlineStr">
        <is>
          <t>2056</t>
        </is>
      </c>
      <c r="C65" t="inlineStr">
        <is>
          <t>SM City Consolacion</t>
        </is>
      </c>
      <c r="D65" t="inlineStr">
        <is>
          <t>Brgy. Lamac Consolacion, Cebu</t>
        </is>
      </c>
      <c r="E65" t="inlineStr">
        <is>
          <t>Cebu</t>
        </is>
      </c>
      <c r="F65" t="n">
        <v>10.3804189</v>
      </c>
      <c r="G65" t="n">
        <v>123.9643279</v>
      </c>
    </row>
    <row r="66">
      <c r="A66" t="inlineStr">
        <is>
          <t>smcinema</t>
        </is>
      </c>
      <c r="B66" t="inlineStr">
        <is>
          <t>2180</t>
        </is>
      </c>
      <c r="C66" t="inlineStr">
        <is>
          <t>SM City Daet</t>
        </is>
      </c>
      <c r="D66" t="inlineStr">
        <is>
          <t>Vinzons Avenue, Barangay Lag-on, Daet, Camarines Norte</t>
        </is>
      </c>
      <c r="E66" t="inlineStr">
        <is>
          <t>Daet, Camarines Norte</t>
        </is>
      </c>
      <c r="F66" t="n">
        <v>14.1212594</v>
      </c>
      <c r="G66" t="n">
        <v>122.9455137</v>
      </c>
    </row>
    <row r="67">
      <c r="A67" t="inlineStr">
        <is>
          <t>smcinema</t>
        </is>
      </c>
      <c r="B67" t="inlineStr">
        <is>
          <t>2402</t>
        </is>
      </c>
      <c r="C67" t="inlineStr">
        <is>
          <t>SM City Dasmarinas</t>
        </is>
      </c>
      <c r="D67" t="inlineStr">
        <is>
          <t>Governors Drive, Bgy Sampalok 1, Dasmarinas Cavite</t>
        </is>
      </c>
      <c r="E67" t="inlineStr">
        <is>
          <t>Dasmarinas Cavite</t>
        </is>
      </c>
      <c r="F67" t="n">
        <v>14.3018481</v>
      </c>
      <c r="G67" t="n">
        <v>120.9567607</v>
      </c>
    </row>
    <row r="68">
      <c r="A68" t="inlineStr">
        <is>
          <t>smcinema</t>
        </is>
      </c>
      <c r="B68" t="inlineStr">
        <is>
          <t>2012</t>
        </is>
      </c>
      <c r="C68" t="inlineStr">
        <is>
          <t>SM City Davao</t>
        </is>
      </c>
      <c r="D68" t="inlineStr">
        <is>
          <t>Quimpo Blvd. Ecoland Subd., Brgy. Matina, Davao City</t>
        </is>
      </c>
      <c r="E68" t="inlineStr">
        <is>
          <t>Davao City</t>
        </is>
      </c>
      <c r="F68" t="n">
        <v>7.0487529</v>
      </c>
      <c r="G68" t="n">
        <v>125.5888076</v>
      </c>
    </row>
    <row r="69">
      <c r="A69" t="inlineStr">
        <is>
          <t>smcinema</t>
        </is>
      </c>
      <c r="B69" t="inlineStr">
        <is>
          <t>2100</t>
        </is>
      </c>
      <c r="C69" t="inlineStr">
        <is>
          <t>SM City East Ortigas</t>
        </is>
      </c>
      <c r="D69" t="inlineStr">
        <is>
          <t>Avenue Extension, Brgy Sta. Lucia, Pasig City</t>
        </is>
      </c>
      <c r="E69" t="inlineStr">
        <is>
          <t>Pasig City</t>
        </is>
      </c>
      <c r="F69" t="n">
        <v>14.5875862</v>
      </c>
      <c r="G69" t="n">
        <v>121.1049459</v>
      </c>
    </row>
    <row r="70">
      <c r="A70" t="inlineStr">
        <is>
          <t>smcinema</t>
        </is>
      </c>
      <c r="B70" t="inlineStr">
        <is>
          <t>2007</t>
        </is>
      </c>
      <c r="C70" t="inlineStr">
        <is>
          <t>SM City Fairview</t>
        </is>
      </c>
      <c r="D70" t="inlineStr">
        <is>
          <t>Quirino Hi-way cor Regalado Av, Bgy Greater Lagro, Novaliches Quezon City</t>
        </is>
      </c>
      <c r="E70" t="inlineStr">
        <is>
          <t>Novaliches Quezon City</t>
        </is>
      </c>
      <c r="F70" t="n">
        <v>14.7334933</v>
      </c>
      <c r="G70" t="n">
        <v>121.0583937</v>
      </c>
    </row>
    <row r="71">
      <c r="A71" t="inlineStr">
        <is>
          <t>smcinema</t>
        </is>
      </c>
      <c r="B71" t="inlineStr">
        <is>
          <t>2053</t>
        </is>
      </c>
      <c r="C71" t="inlineStr">
        <is>
          <t>SM City General Santos</t>
        </is>
      </c>
      <c r="D71" t="inlineStr">
        <is>
          <t>Cor. Santiago Blvd., San Miguel St Brgy Lagao, Gen Santos City</t>
        </is>
      </c>
      <c r="E71" t="inlineStr">
        <is>
          <t>Gen Santos City</t>
        </is>
      </c>
      <c r="F71" t="n">
        <v>6.1160751</v>
      </c>
      <c r="G71" t="n">
        <v>125.1811855</v>
      </c>
    </row>
    <row r="72">
      <c r="A72" t="inlineStr">
        <is>
          <t>smcinema</t>
        </is>
      </c>
      <c r="B72" t="inlineStr">
        <is>
          <t>2173</t>
        </is>
      </c>
      <c r="C72" t="inlineStr">
        <is>
          <t>SM City Grand Central</t>
        </is>
      </c>
      <c r="D72" t="inlineStr">
        <is>
          <t>Rizal Avenue Extension, Barangay 88 Zone 8 District II, Grace Park East, Caloocan City</t>
        </is>
      </c>
      <c r="E72" t="inlineStr">
        <is>
          <t>Grace Park East, Caloocan City</t>
        </is>
      </c>
      <c r="F72" t="n">
        <v>14.6549675</v>
      </c>
      <c r="G72" t="n">
        <v>120.9847453</v>
      </c>
    </row>
    <row r="73">
      <c r="A73" t="inlineStr">
        <is>
          <t>smcinema</t>
        </is>
      </c>
      <c r="B73" t="inlineStr">
        <is>
          <t>2008</t>
        </is>
      </c>
      <c r="C73" t="inlineStr">
        <is>
          <t>SM City Iloilo</t>
        </is>
      </c>
      <c r="D73" t="inlineStr">
        <is>
          <t>Benigno Aquino Ave, Mandurriao Bolilao, Iloilo City</t>
        </is>
      </c>
      <c r="E73" t="inlineStr">
        <is>
          <t>Iloilo City</t>
        </is>
      </c>
      <c r="F73" t="n">
        <v>10.7144781</v>
      </c>
      <c r="G73" t="n">
        <v>122.5511261</v>
      </c>
    </row>
    <row r="74">
      <c r="A74" t="inlineStr">
        <is>
          <t>smcinema</t>
        </is>
      </c>
      <c r="B74" t="inlineStr">
        <is>
          <t>2182</t>
        </is>
      </c>
      <c r="C74" t="inlineStr">
        <is>
          <t>SM City J Mall Cebu</t>
        </is>
      </c>
      <c r="D74" t="inlineStr">
        <is>
          <t>A.S. Fortuna St. , Bakilid 6014, Mandaue City Cebu</t>
        </is>
      </c>
      <c r="E74" t="inlineStr">
        <is>
          <t>Mandaue City Cebu</t>
        </is>
      </c>
      <c r="F74" t="n">
        <v>10.3274183</v>
      </c>
      <c r="G74" t="n">
        <v>123.9421517</v>
      </c>
    </row>
    <row r="75">
      <c r="A75" t="inlineStr">
        <is>
          <t>smcinema</t>
        </is>
      </c>
      <c r="B75" t="inlineStr">
        <is>
          <t>2178</t>
        </is>
      </c>
      <c r="C75" t="inlineStr">
        <is>
          <t>SM City La Union</t>
        </is>
      </c>
      <c r="D75" t="inlineStr">
        <is>
          <t>Along Diversion Road Biday , 2500 City of San Fernando, La Union Philippines</t>
        </is>
      </c>
      <c r="E75" t="inlineStr">
        <is>
          <t>La Union Philippines</t>
        </is>
      </c>
      <c r="F75" t="n">
        <v>16.6256986</v>
      </c>
      <c r="G75" t="n">
        <v>120.3226156</v>
      </c>
    </row>
    <row r="76">
      <c r="A76" t="inlineStr">
        <is>
          <t>smcinema</t>
        </is>
      </c>
      <c r="B76" t="inlineStr">
        <is>
          <t>2162</t>
        </is>
      </c>
      <c r="C76" t="inlineStr">
        <is>
          <t>SM City Laoag</t>
        </is>
      </c>
      <c r="D76" t="inlineStr">
        <is>
          <t xml:space="preserve">Airport Road Bgy. No. 51-B, Nangalisan West 2900, City of Laoag Ilocos Norte </t>
        </is>
      </c>
      <c r="E76" t="inlineStr">
        <is>
          <t xml:space="preserve">City of Laoag Ilocos Norte </t>
        </is>
      </c>
      <c r="F76" t="n">
        <v>18.1894946</v>
      </c>
      <c r="G76" t="n">
        <v>120.5863466</v>
      </c>
    </row>
    <row r="77">
      <c r="A77" t="inlineStr">
        <is>
          <t>smcinema</t>
        </is>
      </c>
      <c r="B77" t="inlineStr">
        <is>
          <t>2165</t>
        </is>
      </c>
      <c r="C77" t="inlineStr">
        <is>
          <t>SM City Legazpi</t>
        </is>
      </c>
      <c r="D77" t="inlineStr">
        <is>
          <t>Imelda Roces Avenue, Zone 9 Bgy 37 Bitano, Legazpi City Albay</t>
        </is>
      </c>
      <c r="E77" t="inlineStr">
        <is>
          <t>Legazpi City Albay</t>
        </is>
      </c>
      <c r="F77" t="n">
        <v>13.144255</v>
      </c>
      <c r="G77" t="n">
        <v>123.7447188</v>
      </c>
    </row>
    <row r="78">
      <c r="A78" t="inlineStr">
        <is>
          <t>smcinema</t>
        </is>
      </c>
      <c r="B78" t="inlineStr">
        <is>
          <t>2303</t>
        </is>
      </c>
      <c r="C78" t="inlineStr">
        <is>
          <t>SM City Lipa</t>
        </is>
      </c>
      <c r="D78" t="inlineStr">
        <is>
          <t>JP Laurel Highway, Brgy Sabang, Lipa City Batangas</t>
        </is>
      </c>
      <c r="E78" t="inlineStr">
        <is>
          <t>Lipa City Batangas</t>
        </is>
      </c>
      <c r="F78" t="n">
        <v>13.9547813</v>
      </c>
      <c r="G78" t="n">
        <v>121.1630958</v>
      </c>
    </row>
    <row r="79">
      <c r="A79" t="inlineStr">
        <is>
          <t>smcinema</t>
        </is>
      </c>
      <c r="B79" t="inlineStr">
        <is>
          <t>2015</t>
        </is>
      </c>
      <c r="C79" t="inlineStr">
        <is>
          <t>SM City Lucena</t>
        </is>
      </c>
      <c r="D79" t="inlineStr">
        <is>
          <t>Dalahican Rd cor Maharlika, Brgy Ibabang Dupay, Lucena City</t>
        </is>
      </c>
      <c r="E79" t="inlineStr">
        <is>
          <t>Lucena City</t>
        </is>
      </c>
      <c r="F79" t="n">
        <v>13.9408442</v>
      </c>
      <c r="G79" t="n">
        <v>121.6251586</v>
      </c>
    </row>
    <row r="80">
      <c r="A80" t="inlineStr">
        <is>
          <t>smcinema</t>
        </is>
      </c>
      <c r="B80" t="inlineStr">
        <is>
          <t>2009</t>
        </is>
      </c>
      <c r="C80" t="inlineStr">
        <is>
          <t>SM City Manila</t>
        </is>
      </c>
      <c r="D80" t="inlineStr">
        <is>
          <t>Concepcion Cor Arroceros, And San Marcelino St, Ermita, Manila City</t>
        </is>
      </c>
      <c r="E80" t="inlineStr">
        <is>
          <t>Ermita, Manila City</t>
        </is>
      </c>
      <c r="F80" t="n">
        <v>14.5897825</v>
      </c>
      <c r="G80" t="n">
        <v>120.9831425</v>
      </c>
    </row>
    <row r="81">
      <c r="A81" t="inlineStr">
        <is>
          <t>smcinema</t>
        </is>
      </c>
      <c r="B81" t="inlineStr">
        <is>
          <t>2027</t>
        </is>
      </c>
      <c r="C81" t="inlineStr">
        <is>
          <t>SM City Marikina</t>
        </is>
      </c>
      <c r="D81" t="inlineStr">
        <is>
          <t>Marcos Highway, Kalumpang, Marikina City NCR Second</t>
        </is>
      </c>
      <c r="E81" t="inlineStr">
        <is>
          <t>Marikina City NCR Second</t>
        </is>
      </c>
      <c r="F81" t="n">
        <v>14.6267269</v>
      </c>
      <c r="G81" t="n">
        <v>121.0840301</v>
      </c>
    </row>
    <row r="82">
      <c r="A82" t="inlineStr">
        <is>
          <t>smcinema</t>
        </is>
      </c>
      <c r="B82" t="inlineStr">
        <is>
          <t>2017</t>
        </is>
      </c>
      <c r="C82" t="inlineStr">
        <is>
          <t>SM City Marilao</t>
        </is>
      </c>
      <c r="D82" t="inlineStr">
        <is>
          <t>Mc Arthur Highway, Brgy Ibayo, Marilao, Bulacan</t>
        </is>
      </c>
      <c r="E82" t="inlineStr">
        <is>
          <t>Marilao, Bulacan</t>
        </is>
      </c>
      <c r="F82" t="n">
        <v>14.754578</v>
      </c>
      <c r="G82" t="n">
        <v>120.9562387</v>
      </c>
    </row>
    <row r="83">
      <c r="A83" t="inlineStr">
        <is>
          <t>smcinema</t>
        </is>
      </c>
      <c r="B83" t="inlineStr">
        <is>
          <t>2048</t>
        </is>
      </c>
      <c r="C83" t="inlineStr">
        <is>
          <t>SM City Masinag</t>
        </is>
      </c>
      <c r="D83" t="inlineStr">
        <is>
          <t>Marcos Highway, Mayamot, Antipolo City Rizal</t>
        </is>
      </c>
      <c r="E83" t="inlineStr">
        <is>
          <t>Antipolo City Rizal</t>
        </is>
      </c>
      <c r="F83" t="n">
        <v>14.625409</v>
      </c>
      <c r="G83" t="n">
        <v>121.121446</v>
      </c>
    </row>
    <row r="84">
      <c r="A84" t="inlineStr">
        <is>
          <t>smcinema</t>
        </is>
      </c>
      <c r="B84" t="inlineStr">
        <is>
          <t>2111</t>
        </is>
      </c>
      <c r="C84" t="inlineStr">
        <is>
          <t>SM City Mindpro</t>
        </is>
      </c>
      <c r="D84" t="inlineStr">
        <is>
          <t>La Purisima Street , Barangay Zone III (Pob), Zamboanga City ZamboangaDelSur</t>
        </is>
      </c>
      <c r="E84" t="inlineStr">
        <is>
          <t>Zamboanga City ZamboangaDelSur</t>
        </is>
      </c>
      <c r="F84" t="n">
        <v>6.9080396</v>
      </c>
      <c r="G84" t="n">
        <v>122.0761985</v>
      </c>
    </row>
    <row r="85">
      <c r="A85" t="inlineStr">
        <is>
          <t>smcinema</t>
        </is>
      </c>
      <c r="B85" t="inlineStr">
        <is>
          <t>2020</t>
        </is>
      </c>
      <c r="C85" t="inlineStr">
        <is>
          <t>SM City Molino</t>
        </is>
      </c>
      <c r="D85" t="inlineStr">
        <is>
          <t>Bgy Molino IV, Bacoor Cavite</t>
        </is>
      </c>
      <c r="E85" t="inlineStr">
        <is>
          <t>Bacoor Cavite</t>
        </is>
      </c>
      <c r="F85" t="n">
        <v>14.3846173</v>
      </c>
      <c r="G85" t="n">
        <v>120.9777675</v>
      </c>
    </row>
    <row r="86">
      <c r="A86" t="inlineStr">
        <is>
          <t>smcinema</t>
        </is>
      </c>
      <c r="B86" t="inlineStr">
        <is>
          <t>2028</t>
        </is>
      </c>
      <c r="C86" t="inlineStr">
        <is>
          <t>SM City Naga</t>
        </is>
      </c>
      <c r="D86" t="inlineStr">
        <is>
          <t>Central Business, District II Triangulo, Naga City, Camarines Sur</t>
        </is>
      </c>
      <c r="E86" t="inlineStr">
        <is>
          <t>Naga City, Camarines Sur</t>
        </is>
      </c>
      <c r="F86" t="n">
        <v>13.621216</v>
      </c>
      <c r="G86" t="n">
        <v>123.1903732</v>
      </c>
    </row>
    <row r="87">
      <c r="A87" t="inlineStr">
        <is>
          <t>smcinema</t>
        </is>
      </c>
      <c r="B87" t="inlineStr">
        <is>
          <t>2002</t>
        </is>
      </c>
      <c r="C87" t="inlineStr">
        <is>
          <t>SM City North Edsa</t>
        </is>
      </c>
      <c r="D87" t="inlineStr">
        <is>
          <t>North EDSA PAG ASA I, Quezon City</t>
        </is>
      </c>
      <c r="E87" t="inlineStr">
        <is>
          <t>Quezon City</t>
        </is>
      </c>
      <c r="F87" t="n">
        <v>14.6564479</v>
      </c>
      <c r="G87" t="n">
        <v>121.0333967</v>
      </c>
    </row>
    <row r="88">
      <c r="A88" t="inlineStr">
        <is>
          <t>smcinema</t>
        </is>
      </c>
      <c r="B88" t="inlineStr">
        <is>
          <t>2041</t>
        </is>
      </c>
      <c r="C88" t="inlineStr">
        <is>
          <t>SM City Novaliches</t>
        </is>
      </c>
      <c r="D88" t="inlineStr">
        <is>
          <t>Quirino Highway, Bgy San Bartolome, Novaliches Quezon City</t>
        </is>
      </c>
      <c r="E88" t="inlineStr">
        <is>
          <t>Novaliches Quezon City</t>
        </is>
      </c>
      <c r="F88" t="n">
        <v>14.7080181</v>
      </c>
      <c r="G88" t="n">
        <v>121.0373388</v>
      </c>
    </row>
    <row r="89">
      <c r="A89" t="inlineStr">
        <is>
          <t>smcinema</t>
        </is>
      </c>
      <c r="B89" t="inlineStr">
        <is>
          <t>2074</t>
        </is>
      </c>
      <c r="C89" t="inlineStr">
        <is>
          <t>SM City Olongapo Central</t>
        </is>
      </c>
      <c r="D89" t="inlineStr">
        <is>
          <t>Rizal Avenue, Brgy East Tapinac, Olongapo City Zambales</t>
        </is>
      </c>
      <c r="E89" t="inlineStr">
        <is>
          <t>Olongapo City Zambales</t>
        </is>
      </c>
      <c r="F89" t="n">
        <v>14.8363313</v>
      </c>
      <c r="G89" t="n">
        <v>120.2828655</v>
      </c>
    </row>
    <row r="90">
      <c r="A90" t="inlineStr">
        <is>
          <t>smcinema</t>
        </is>
      </c>
      <c r="B90" t="inlineStr">
        <is>
          <t>2010</t>
        </is>
      </c>
      <c r="C90" t="inlineStr">
        <is>
          <t>SM City Pampanga</t>
        </is>
      </c>
      <c r="D90" t="inlineStr">
        <is>
          <t>San Jose, City of, San Fernando Pampanga</t>
        </is>
      </c>
      <c r="E90" t="inlineStr">
        <is>
          <t>San Fernando Pampanga</t>
        </is>
      </c>
      <c r="F90" t="n">
        <v>15.0519537</v>
      </c>
      <c r="G90" t="n">
        <v>120.6970168</v>
      </c>
    </row>
    <row r="91">
      <c r="A91" t="inlineStr">
        <is>
          <t>smcinema</t>
        </is>
      </c>
      <c r="B91" t="inlineStr">
        <is>
          <t>2091</t>
        </is>
      </c>
      <c r="C91" t="inlineStr">
        <is>
          <t>SM City Puerto Princesa</t>
        </is>
      </c>
      <c r="D91" t="inlineStr">
        <is>
          <t>Malvar Corner Lacao Streets, San Miguel, Puerto Princesa City Palawan</t>
        </is>
      </c>
      <c r="E91" t="inlineStr">
        <is>
          <t>Puerto Princesa City Palawan</t>
        </is>
      </c>
      <c r="F91" t="n">
        <v>9.743233999999999</v>
      </c>
      <c r="G91" t="n">
        <v>118.7398132</v>
      </c>
    </row>
    <row r="92">
      <c r="A92" t="inlineStr">
        <is>
          <t>smcinema</t>
        </is>
      </c>
      <c r="B92" t="inlineStr">
        <is>
          <t>2031</t>
        </is>
      </c>
      <c r="C92" t="inlineStr">
        <is>
          <t>SM City Rosales</t>
        </is>
      </c>
      <c r="D92" t="inlineStr">
        <is>
          <t>Carmen East, Rosales Pangasinan</t>
        </is>
      </c>
      <c r="E92" t="inlineStr">
        <is>
          <t>Rosales Pangasinan</t>
        </is>
      </c>
      <c r="F92" t="n">
        <v>15.8790471</v>
      </c>
      <c r="G92" t="n">
        <v>120.6024718</v>
      </c>
    </row>
    <row r="93">
      <c r="A93" t="inlineStr">
        <is>
          <t>smcinema</t>
        </is>
      </c>
      <c r="B93" t="inlineStr">
        <is>
          <t>2043</t>
        </is>
      </c>
      <c r="C93" t="inlineStr">
        <is>
          <t>SM City Rosario</t>
        </is>
      </c>
      <c r="D93" t="inlineStr">
        <is>
          <t>General Trias Drive, Brgy Tejero, Rosario Cavite</t>
        </is>
      </c>
      <c r="E93" t="inlineStr">
        <is>
          <t>Rosario Cavite</t>
        </is>
      </c>
      <c r="F93" t="n">
        <v>14.409193</v>
      </c>
      <c r="G93" t="n">
        <v>120.8569122</v>
      </c>
    </row>
    <row r="94">
      <c r="A94" t="inlineStr">
        <is>
          <t>smcinema</t>
        </is>
      </c>
      <c r="B94" t="inlineStr">
        <is>
          <t>2093</t>
        </is>
      </c>
      <c r="C94" t="inlineStr">
        <is>
          <t>SM City Roxas</t>
        </is>
      </c>
      <c r="D94" t="inlineStr">
        <is>
          <t>Arnaldo Boulevard Roxas City, 5800 Roxas City (Capital), Capiz Philippines</t>
        </is>
      </c>
      <c r="E94" t="inlineStr">
        <is>
          <t>Capiz Philippines</t>
        </is>
      </c>
      <c r="F94" t="n">
        <v>11.5956293</v>
      </c>
      <c r="G94" t="n">
        <v>122.7478335</v>
      </c>
    </row>
    <row r="95">
      <c r="A95" t="inlineStr">
        <is>
          <t>smcinema</t>
        </is>
      </c>
      <c r="B95" t="inlineStr">
        <is>
          <t>2080</t>
        </is>
      </c>
      <c r="C95" t="inlineStr">
        <is>
          <t>SM City San Jose del Monte</t>
        </is>
      </c>
      <c r="D95" t="inlineStr">
        <is>
          <t>Quirino Highway, Brgy Tungkong Manga, San Jose Del Monte City Bulaca</t>
        </is>
      </c>
      <c r="E95" t="inlineStr">
        <is>
          <t>San Jose Del Monte City Bulaca</t>
        </is>
      </c>
      <c r="F95" t="n">
        <v>14.7863484</v>
      </c>
      <c r="G95" t="n">
        <v>121.0754176</v>
      </c>
    </row>
    <row r="96">
      <c r="A96" t="inlineStr">
        <is>
          <t>smcinema</t>
        </is>
      </c>
      <c r="B96" t="inlineStr">
        <is>
          <t>2018</t>
        </is>
      </c>
      <c r="C96" t="inlineStr">
        <is>
          <t>SM City San Lazaro</t>
        </is>
      </c>
      <c r="D96" t="inlineStr">
        <is>
          <t>Felix Huertas Cor, AH Lacson Sts., Sta. Cruz Manila</t>
        </is>
      </c>
      <c r="E96" t="inlineStr">
        <is>
          <t>Sta. Cruz Manila</t>
        </is>
      </c>
      <c r="F96" t="n">
        <v>14.6179024</v>
      </c>
      <c r="G96" t="n">
        <v>120.9853439</v>
      </c>
    </row>
    <row r="97">
      <c r="A97" t="inlineStr">
        <is>
          <t>smcinema</t>
        </is>
      </c>
      <c r="B97" t="inlineStr">
        <is>
          <t>2073</t>
        </is>
      </c>
      <c r="C97" t="inlineStr">
        <is>
          <t>SM City San Mateo</t>
        </is>
      </c>
      <c r="D97" t="inlineStr">
        <is>
          <t>Gen A Luna Avenue, Brgy Ampid I, San Mateo Rizal</t>
        </is>
      </c>
      <c r="E97" t="inlineStr">
        <is>
          <t>San Mateo Rizal</t>
        </is>
      </c>
      <c r="F97" t="n">
        <v>14.6795538</v>
      </c>
      <c r="G97" t="n">
        <v>121.1144175</v>
      </c>
    </row>
    <row r="98">
      <c r="A98" t="inlineStr">
        <is>
          <t>smcinema</t>
        </is>
      </c>
      <c r="B98" t="inlineStr">
        <is>
          <t>2047</t>
        </is>
      </c>
      <c r="C98" t="inlineStr">
        <is>
          <t>SM City San Pablo</t>
        </is>
      </c>
      <c r="D98" t="inlineStr">
        <is>
          <t>National Highway, Brgy San Rafael, San Pablo City, Laguna</t>
        </is>
      </c>
      <c r="E98" t="inlineStr">
        <is>
          <t>San Pablo City, Laguna</t>
        </is>
      </c>
      <c r="F98" t="n">
        <v>14.0714169</v>
      </c>
      <c r="G98" t="n">
        <v>121.3021297</v>
      </c>
    </row>
    <row r="99">
      <c r="A99" t="inlineStr">
        <is>
          <t>smcinema</t>
        </is>
      </c>
      <c r="B99" t="inlineStr">
        <is>
          <t>2021</t>
        </is>
      </c>
      <c r="C99" t="inlineStr">
        <is>
          <t>SM City Santa Rosa</t>
        </is>
      </c>
      <c r="D99" t="inlineStr">
        <is>
          <t>Nat'l. Hi-Way Tagapo, Santa Rosa Laguna</t>
        </is>
      </c>
      <c r="E99" t="inlineStr">
        <is>
          <t>Santa Rosa Laguna</t>
        </is>
      </c>
      <c r="F99" t="n">
        <v>14.3134227</v>
      </c>
      <c r="G99" t="n">
        <v>121.0977045</v>
      </c>
    </row>
    <row r="100">
      <c r="A100" t="inlineStr">
        <is>
          <t>smcinema</t>
        </is>
      </c>
      <c r="B100" t="inlineStr">
        <is>
          <t>2166</t>
        </is>
      </c>
      <c r="C100" t="inlineStr">
        <is>
          <t>SM City Sorsogon</t>
        </is>
      </c>
      <c r="D100" t="inlineStr">
        <is>
          <t>Maharlika Highway, Balogo East District, City of Sorsogon, Sorsogon</t>
        </is>
      </c>
      <c r="E100" t="inlineStr">
        <is>
          <t>City of Sorsogon, Sorsogon</t>
        </is>
      </c>
      <c r="F100" t="n">
        <v>12.9757066</v>
      </c>
      <c r="G100" t="n">
        <v>124.0191692</v>
      </c>
    </row>
    <row r="101">
      <c r="A101" t="inlineStr">
        <is>
          <t>smcinema</t>
        </is>
      </c>
      <c r="B101" t="inlineStr">
        <is>
          <t>2003</t>
        </is>
      </c>
      <c r="C101" t="inlineStr">
        <is>
          <t>SM City Sta. Mesa</t>
        </is>
      </c>
      <c r="D101" t="inlineStr">
        <is>
          <t>R. Magsaysay Cor G Araneta Ave, Dona Imelda, Quezon City</t>
        </is>
      </c>
      <c r="E101" t="inlineStr">
        <is>
          <t>Quezon City</t>
        </is>
      </c>
      <c r="F101" t="n">
        <v>14.6510546</v>
      </c>
      <c r="G101" t="n">
        <v>121.0486254</v>
      </c>
    </row>
    <row r="102">
      <c r="A102" t="inlineStr">
        <is>
          <t>smcinema</t>
        </is>
      </c>
      <c r="B102" t="inlineStr">
        <is>
          <t>2191</t>
        </is>
      </c>
      <c r="C102" t="inlineStr">
        <is>
          <t>SM City Sto Tomas</t>
        </is>
      </c>
      <c r="D102" t="inlineStr">
        <is>
          <t>Maharlika Highway, San Bartolome 4234, Santo Tomas Batangas</t>
        </is>
      </c>
      <c r="E102" t="inlineStr">
        <is>
          <t>Santo Tomas Batangas</t>
        </is>
      </c>
      <c r="F102" t="n">
        <v>14.1063893</v>
      </c>
      <c r="G102" t="n">
        <v>121.1507278</v>
      </c>
    </row>
    <row r="103">
      <c r="A103" t="inlineStr">
        <is>
          <t>smcinema</t>
        </is>
      </c>
      <c r="B103" t="inlineStr">
        <is>
          <t>2011</t>
        </is>
      </c>
      <c r="C103" t="inlineStr">
        <is>
          <t>SM City Sucat</t>
        </is>
      </c>
      <c r="D103" t="inlineStr">
        <is>
          <t>Dr. A. Santos Ave., Brgy. San Dionisio, Paranaque City</t>
        </is>
      </c>
      <c r="E103" t="inlineStr">
        <is>
          <t>Paranaque City</t>
        </is>
      </c>
      <c r="F103" t="n">
        <v>14.4830566</v>
      </c>
      <c r="G103" t="n">
        <v>120.993752</v>
      </c>
    </row>
    <row r="104">
      <c r="A104" t="inlineStr">
        <is>
          <t>smcinema</t>
        </is>
      </c>
      <c r="B104" t="inlineStr">
        <is>
          <t>2156</t>
        </is>
      </c>
      <c r="C104" t="inlineStr">
        <is>
          <t>SM City Tanza</t>
        </is>
      </c>
      <c r="D104" t="inlineStr">
        <is>
          <t>Antero Soriano Highway, Daang Amaya II 4108, Tanza Cavite Philippines</t>
        </is>
      </c>
      <c r="E104" t="inlineStr">
        <is>
          <t>Tanza Cavite Philippines</t>
        </is>
      </c>
      <c r="F104" t="n">
        <v>14.3921919</v>
      </c>
      <c r="G104" t="n">
        <v>120.8507397</v>
      </c>
    </row>
    <row r="105">
      <c r="A105" t="inlineStr">
        <is>
          <t>smcinema</t>
        </is>
      </c>
      <c r="B105" t="inlineStr">
        <is>
          <t>2030</t>
        </is>
      </c>
      <c r="C105" t="inlineStr">
        <is>
          <t>SM City Tarlac</t>
        </is>
      </c>
      <c r="D105" t="inlineStr">
        <is>
          <t>Mc Arthur Highway, San Roque Tarlac City</t>
        </is>
      </c>
      <c r="E105" t="inlineStr">
        <is>
          <t>San Roque Tarlac City</t>
        </is>
      </c>
      <c r="F105" t="n">
        <v>15.4775407</v>
      </c>
      <c r="G105" t="n">
        <v>120.5945195</v>
      </c>
    </row>
    <row r="106">
      <c r="A106" t="inlineStr">
        <is>
          <t>smcinema</t>
        </is>
      </c>
      <c r="B106" t="inlineStr">
        <is>
          <t>2025</t>
        </is>
      </c>
      <c r="C106" t="inlineStr">
        <is>
          <t>SM City Taytay</t>
        </is>
      </c>
      <c r="D106" t="inlineStr">
        <is>
          <t>Manila East Road, Taytay, Rizal</t>
        </is>
      </c>
      <c r="E106" t="inlineStr">
        <is>
          <t>Taytay, Rizal</t>
        </is>
      </c>
      <c r="F106" t="n">
        <v>14.5653576</v>
      </c>
      <c r="G106" t="n">
        <v>121.1408316</v>
      </c>
    </row>
    <row r="107">
      <c r="A107" t="inlineStr">
        <is>
          <t>smcinema</t>
        </is>
      </c>
      <c r="B107" t="inlineStr">
        <is>
          <t>2079</t>
        </is>
      </c>
      <c r="C107" t="inlineStr">
        <is>
          <t>SM City Trece Martires</t>
        </is>
      </c>
      <c r="D107" t="inlineStr">
        <is>
          <t>Governors Drive Cor Capitol Rd, Brgy San Agustin, Trece Martires City Cavite</t>
        </is>
      </c>
      <c r="E107" t="inlineStr">
        <is>
          <t>Trece Martires City Cavite</t>
        </is>
      </c>
      <c r="F107" t="n">
        <v>14.2813047</v>
      </c>
      <c r="G107" t="n">
        <v>120.8658698</v>
      </c>
    </row>
    <row r="108">
      <c r="A108" t="inlineStr">
        <is>
          <t>smcinema</t>
        </is>
      </c>
      <c r="B108" t="inlineStr">
        <is>
          <t>2098</t>
        </is>
      </c>
      <c r="C108" t="inlineStr">
        <is>
          <t>SM City Tuguegarao</t>
        </is>
      </c>
      <c r="D108" t="inlineStr">
        <is>
          <t>Bagay Road (Tuguegarao-Solana), Caritan Norte, Tuguegarao City, Cagayan</t>
        </is>
      </c>
      <c r="E108" t="inlineStr">
        <is>
          <t>Tuguegarao City, Cagayan</t>
        </is>
      </c>
      <c r="F108" t="n">
        <v>17.628049</v>
      </c>
      <c r="G108" t="n">
        <v>121.7189004</v>
      </c>
    </row>
    <row r="109">
      <c r="A109" t="inlineStr">
        <is>
          <t>smcinema</t>
        </is>
      </c>
      <c r="B109" t="inlineStr">
        <is>
          <t>2160</t>
        </is>
      </c>
      <c r="C109" t="inlineStr">
        <is>
          <t>SM City Urdaneta Central</t>
        </is>
      </c>
      <c r="D109" t="inlineStr">
        <is>
          <t>Mac Arthur Highway, Nancayasan 2428, City of Urdaneta Pangasinan</t>
        </is>
      </c>
      <c r="E109" t="inlineStr">
        <is>
          <t>City of Urdaneta Pangasinan</t>
        </is>
      </c>
      <c r="F109" t="n">
        <v>15.9719774</v>
      </c>
      <c r="G109" t="n">
        <v>120.572699</v>
      </c>
    </row>
    <row r="110">
      <c r="A110" t="inlineStr">
        <is>
          <t>smcinema</t>
        </is>
      </c>
      <c r="B110" t="inlineStr">
        <is>
          <t>2019</t>
        </is>
      </c>
      <c r="C110" t="inlineStr">
        <is>
          <t>SM City Valenzuela</t>
        </is>
      </c>
      <c r="D110" t="inlineStr">
        <is>
          <t>McArthur Highway, Brgy Karuhatan Valenzuela City</t>
        </is>
      </c>
      <c r="E110" t="inlineStr">
        <is>
          <t>Brgy Karuhatan Valenzuela City</t>
        </is>
      </c>
      <c r="F110" t="n">
        <v>14.6862137</v>
      </c>
      <c r="G110" t="n">
        <v>120.9763149</v>
      </c>
    </row>
    <row r="111">
      <c r="A111" t="inlineStr">
        <is>
          <t>smcinema</t>
        </is>
      </c>
      <c r="B111" t="inlineStr">
        <is>
          <t>3311</t>
        </is>
      </c>
      <c r="C111" t="inlineStr">
        <is>
          <t>SM City Zamboanga</t>
        </is>
      </c>
      <c r="D111" t="inlineStr">
        <is>
          <t xml:space="preserve">Mayor Vitaliano Agan Avenue, Camino Nuevo 7000, City of Zamboanga Del Sur </t>
        </is>
      </c>
      <c r="E111" t="inlineStr">
        <is>
          <t xml:space="preserve">City of Zamboanga Del Sur </t>
        </is>
      </c>
      <c r="F111" t="n">
        <v>8.5850691</v>
      </c>
      <c r="G111" t="n">
        <v>123.3394439</v>
      </c>
    </row>
    <row r="112">
      <c r="A112" t="inlineStr">
        <is>
          <t>smcinema</t>
        </is>
      </c>
      <c r="B112" t="inlineStr">
        <is>
          <t>2094</t>
        </is>
      </c>
      <c r="C112" t="inlineStr">
        <is>
          <t>SM CityTelabastagan</t>
        </is>
      </c>
      <c r="D112" t="inlineStr">
        <is>
          <t>Mac Arthur Highway, Telabastagan, City of San Fernando Pampanga</t>
        </is>
      </c>
      <c r="E112" t="inlineStr">
        <is>
          <t>City of San Fernando Pampanga</t>
        </is>
      </c>
      <c r="F112" t="n">
        <v>15.0236563</v>
      </c>
      <c r="G112" t="n">
        <v>120.6862072</v>
      </c>
    </row>
    <row r="113">
      <c r="A113" t="inlineStr">
        <is>
          <t>smcinema</t>
        </is>
      </c>
      <c r="B113" t="inlineStr">
        <is>
          <t>2902</t>
        </is>
      </c>
      <c r="C113" t="inlineStr">
        <is>
          <t>SM Lanang Premier</t>
        </is>
      </c>
      <c r="D113" t="inlineStr">
        <is>
          <t>J. P. Laurel Ave., Brgy San Antonio Agdao, Davao City, Davao Del Sur</t>
        </is>
      </c>
      <c r="E113" t="inlineStr">
        <is>
          <t>Davao City, Davao Del Sur</t>
        </is>
      </c>
      <c r="F113" t="n">
        <v>7.0993004</v>
      </c>
      <c r="G113" t="n">
        <v>125.6314819</v>
      </c>
    </row>
    <row r="114">
      <c r="A114" t="inlineStr">
        <is>
          <t>smcinema</t>
        </is>
      </c>
      <c r="B114" t="inlineStr">
        <is>
          <t>2022</t>
        </is>
      </c>
      <c r="C114" t="inlineStr">
        <is>
          <t>SM Mall of Asia</t>
        </is>
      </c>
      <c r="D114" t="inlineStr">
        <is>
          <t>JW Diokno Blvd CBP-IA, Pasay City</t>
        </is>
      </c>
      <c r="E114" t="inlineStr">
        <is>
          <t>Pasay City</t>
        </is>
      </c>
      <c r="F114" t="n">
        <v>14.5351818</v>
      </c>
      <c r="G114" t="n">
        <v>120.9815994</v>
      </c>
    </row>
    <row r="115">
      <c r="A115" t="inlineStr">
        <is>
          <t>smcinema</t>
        </is>
      </c>
      <c r="B115" t="inlineStr">
        <is>
          <t>2102</t>
        </is>
      </c>
      <c r="C115" t="inlineStr">
        <is>
          <t>SM Megamall</t>
        </is>
      </c>
      <c r="D115" t="inlineStr">
        <is>
          <t>J. Vargas Cor. EDSA, Wack-Wack Village, Mandaluyong City</t>
        </is>
      </c>
      <c r="E115" t="inlineStr">
        <is>
          <t>Mandaluyong City</t>
        </is>
      </c>
      <c r="F115" t="n">
        <v>14.5847281</v>
      </c>
      <c r="G115" t="n">
        <v>121.0568831</v>
      </c>
    </row>
    <row r="116">
      <c r="A116" t="inlineStr">
        <is>
          <t>smcinema</t>
        </is>
      </c>
      <c r="B116" t="inlineStr">
        <is>
          <t>2055</t>
        </is>
      </c>
      <c r="C116" t="inlineStr">
        <is>
          <t>SM Seaside City Cebu</t>
        </is>
      </c>
      <c r="D116" t="inlineStr">
        <is>
          <t>South Road Properties 6000, Cebu City</t>
        </is>
      </c>
      <c r="E116" t="inlineStr">
        <is>
          <t>Cebu City</t>
        </is>
      </c>
      <c r="F116" t="n">
        <v>10.2818233</v>
      </c>
      <c r="G116" t="n">
        <v>123.8824099</v>
      </c>
    </row>
    <row r="117">
      <c r="A117" t="inlineStr">
        <is>
          <t>smcinema</t>
        </is>
      </c>
      <c r="B117" t="inlineStr">
        <is>
          <t>2005</t>
        </is>
      </c>
      <c r="C117" t="inlineStr">
        <is>
          <t>SM Southmall</t>
        </is>
      </c>
      <c r="D117" t="inlineStr">
        <is>
          <t>Alabang Zapote Road, Almanza, Las Piñas City</t>
        </is>
      </c>
      <c r="E117" t="inlineStr">
        <is>
          <t>Las Piñas City</t>
        </is>
      </c>
      <c r="F117" t="n">
        <v>14.4324991</v>
      </c>
      <c r="G117" t="n">
        <v>121.0100751</v>
      </c>
    </row>
    <row r="118">
      <c r="A118" t="inlineStr">
        <is>
          <t>smcinema</t>
        </is>
      </c>
      <c r="B118" t="inlineStr">
        <is>
          <t>2702</t>
        </is>
      </c>
      <c r="C118" t="inlineStr">
        <is>
          <t>The Podium Mall</t>
        </is>
      </c>
      <c r="D118" t="inlineStr">
        <is>
          <t>12 ADB Avenue Ortigas Center, Brgy Wack-Wack Greenhills East, Mandaluyong City</t>
        </is>
      </c>
      <c r="E118" t="inlineStr">
        <is>
          <t>Mandaluyong City</t>
        </is>
      </c>
      <c r="F118" t="n">
        <v>14.5850748</v>
      </c>
      <c r="G118" t="n">
        <v>121.0591384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2026-05-05T06:12:44Z</dcterms:created>
  <dcterms:modified xmlns:dcterms="http://purl.org/dc/terms/" xmlns:xsi="http://www.w3.org/2001/XMLSchema-instance" xsi:type="dcterms:W3CDTF">2026-05-05T06:12:44Z</dcterms:modified>
</cp:coreProperties>
</file>